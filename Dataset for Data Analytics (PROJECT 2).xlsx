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93AF7E-E2B4-49CC-831B-B4262CDCE5D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Analysis" sheetId="3" r:id="rId2"/>
    <sheet name="Data Analysis" sheetId="4" r:id="rId3"/>
    <sheet name="Charts" sheetId="7" r:id="rId4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4" l="1" a="1"/>
  <c r="D55" i="4" s="1"/>
  <c r="E55" i="4" s="1"/>
  <c r="C55" i="4" a="1"/>
  <c r="C55" i="4" s="1"/>
  <c r="B55" i="4" a="1"/>
  <c r="B55" i="4" s="1"/>
  <c r="D54" i="4" a="1"/>
  <c r="D54" i="4" s="1"/>
  <c r="E54" i="4" s="1"/>
  <c r="F54" i="4" s="1"/>
  <c r="C54" i="4" a="1"/>
  <c r="C54" i="4" s="1"/>
  <c r="B54" i="4" a="1"/>
  <c r="B54" i="4" s="1"/>
  <c r="D53" i="4" a="1"/>
  <c r="D53" i="4" s="1"/>
  <c r="E53" i="4" s="1"/>
  <c r="F53" i="4" s="1"/>
  <c r="C53" i="4" a="1"/>
  <c r="C53" i="4" s="1"/>
  <c r="B53" i="4" a="1"/>
  <c r="B53" i="4" s="1"/>
  <c r="F73" i="4"/>
  <c r="E73" i="4"/>
  <c r="D73" i="4"/>
  <c r="C73" i="4"/>
  <c r="B73" i="4"/>
  <c r="F72" i="4"/>
  <c r="E72" i="4"/>
  <c r="D72" i="4"/>
  <c r="C72" i="4"/>
  <c r="B72" i="4"/>
  <c r="F71" i="4"/>
  <c r="E71" i="4"/>
  <c r="D71" i="4"/>
  <c r="C71" i="4"/>
  <c r="B71" i="4"/>
  <c r="F70" i="4"/>
  <c r="E70" i="4"/>
  <c r="D70" i="4"/>
  <c r="C70" i="4"/>
  <c r="B70" i="4"/>
  <c r="F69" i="4"/>
  <c r="E69" i="4"/>
  <c r="D69" i="4"/>
  <c r="C69" i="4"/>
  <c r="B69" i="4"/>
  <c r="F64" i="4"/>
  <c r="E64" i="4"/>
  <c r="D64" i="4"/>
  <c r="C64" i="4"/>
  <c r="B64" i="4"/>
  <c r="F63" i="4"/>
  <c r="E63" i="4"/>
  <c r="D63" i="4"/>
  <c r="C63" i="4"/>
  <c r="B63" i="4"/>
  <c r="F62" i="4"/>
  <c r="E62" i="4"/>
  <c r="D62" i="4"/>
  <c r="C62" i="4"/>
  <c r="B62" i="4"/>
  <c r="F61" i="4"/>
  <c r="E61" i="4"/>
  <c r="D61" i="4"/>
  <c r="C61" i="4"/>
  <c r="B61" i="4"/>
  <c r="F60" i="4"/>
  <c r="E60" i="4"/>
  <c r="D60" i="4"/>
  <c r="C60" i="4"/>
  <c r="B60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5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<sst xmlns="http://schemas.openxmlformats.org/spreadsheetml/2006/main" count="10636" uniqueCount="4325">
  <si>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</si>
  <si>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</si>
  <si>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</si>
  <si>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</si>
  <si>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</si>
  <si>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</si>
  <si>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</si>
  <si>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</si>
  <si>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</si>
  <si>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</si>
  <si>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</si>
  <si>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</si>
  <si>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</si>
  <si>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</si>
  <si>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</si>
  <si>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</si>
  <si>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</si>
  <si>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</si>
  <si>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</si>
  <si>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</si>
  <si>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</si>
  <si>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</si>
  <si>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</si>
  <si>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</si>
  <si>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</si>
  <si>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</si>
  <si>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</si>
  <si>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</si>
  <si>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</si>
  <si>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</si>
  <si>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</si>
  <si>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</si>
  <si>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</si>
  <si>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</si>
  <si>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</si>
  <si>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</si>
  <si>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</si>
  <si>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</si>
  <si>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</si>
  <si>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</si>
  <si>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</si>
  <si>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</si>
  <si>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</si>
  <si>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</si>
  <si>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</si>
  <si>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</si>
  <si>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</si>
  <si>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</si>
  <si>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</si>
  <si>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</si>
  <si>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</si>
  <si>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</si>
  <si>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</si>
  <si>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</si>
  <si>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</si>
  <si>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</si>
  <si>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</si>
  <si>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</si>
  <si>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</si>
  <si>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</si>
  <si>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</si>
  <si>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</si>
  <si>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</si>
  <si>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</si>
  <si>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</si>
  <si>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</si>
  <si>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</si>
  <si>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</si>
  <si>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</si>
  <si>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</si>
  <si>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</si>
  <si>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</si>
  <si>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</si>
  <si>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</si>
  <si>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</si>
  <si>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</si>
  <si>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</si>
  <si>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</si>
  <si>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</si>
  <si>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</si>
  <si>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</si>
  <si>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</si>
  <si>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</si>
  <si>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</si>
  <si>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</si>
  <si>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</si>
  <si>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</si>
  <si>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</si>
  <si>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</si>
  <si>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</si>
  <si>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</si>
  <si>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</si>
  <si>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</si>
  <si>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</si>
  <si>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</si>
  <si>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</si>
  <si>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</si>
  <si>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</si>
  <si>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</si>
  <si>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</si>
  <si>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</si>
  <si>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</si>
  <si>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</si>
  <si>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</si>
  <si>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</si>
  <si>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</si>
  <si>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</si>
  <si>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</si>
  <si>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</si>
  <si>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</si>
  <si>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</si>
  <si>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</si>
  <si>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</si>
  <si>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</si>
  <si>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</si>
  <si>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</si>
  <si>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</si>
  <si>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</si>
  <si>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</si>
  <si>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</si>
  <si>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</si>
  <si>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</si>
  <si>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</si>
  <si>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</si>
  <si>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</si>
  <si>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</si>
  <si>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</si>
  <si>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</si>
  <si>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</si>
  <si>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</si>
  <si>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</si>
  <si>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</si>
  <si>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</si>
  <si>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</si>
  <si>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</si>
  <si>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</si>
  <si>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</si>
  <si>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</si>
  <si>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</si>
  <si>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</si>
  <si>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</si>
  <si>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</si>
  <si>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</si>
  <si>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</si>
  <si>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</si>
  <si>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</si>
  <si>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</si>
  <si>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</si>
  <si>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</si>
  <si>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</si>
  <si>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</si>
  <si>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</si>
  <si>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</si>
  <si>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</si>
  <si>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</si>
  <si>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</si>
  <si>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</si>
  <si>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</si>
  <si>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</si>
  <si>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</si>
  <si>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</si>
  <si>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</si>
  <si>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</si>
  <si>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</si>
  <si>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</si>
  <si>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</si>
  <si>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</si>
  <si>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</si>
  <si>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</si>
  <si>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</si>
  <si>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</si>
  <si>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</si>
  <si>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</si>
  <si>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</si>
  <si>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</si>
  <si>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</si>
  <si>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</si>
  <si>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</si>
  <si>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</si>
  <si>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</si>
  <si>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</si>
  <si>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</si>
  <si>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</si>
  <si>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</si>
  <si>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</si>
  <si>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</si>
  <si>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</si>
  <si>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</si>
  <si>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</si>
  <si>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</si>
  <si>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</si>
  <si>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</si>
  <si>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</si>
  <si>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</si>
  <si>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</si>
  <si>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</si>
  <si>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</si>
  <si>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</si>
  <si>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</si>
  <si>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</si>
  <si>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</si>
  <si>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</si>
  <si>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</si>
  <si>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</si>
  <si>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</si>
  <si>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</si>
  <si>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</si>
  <si>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</si>
  <si>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</si>
  <si>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</si>
  <si>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</si>
  <si>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</si>
  <si>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</si>
  <si>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</si>
  <si>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</si>
  <si>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</si>
  <si>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</si>
  <si>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</si>
  <si>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</si>
  <si>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</si>
  <si>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</si>
  <si>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</si>
  <si>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</si>
  <si>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</si>
  <si>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</si>
  <si>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</si>
  <si>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</si>
  <si>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</si>
  <si>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</si>
  <si>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</si>
  <si>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</si>
  <si>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</si>
  <si>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</si>
  <si>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</si>
  <si>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</si>
  <si>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</si>
  <si>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</si>
  <si>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</si>
  <si>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</si>
  <si>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</si>
  <si>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</si>
  <si>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</si>
  <si>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</si>
  <si>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</si>
  <si>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</si>
  <si>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</si>
  <si>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</si>
  <si>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</si>
  <si>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</si>
  <si>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</si>
  <si>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</si>
  <si>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</si>
  <si>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</si>
  <si>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</si>
  <si>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</si>
  <si>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</si>
  <si>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</si>
  <si>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</si>
  <si>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</si>
  <si>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</si>
  <si>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</si>
  <si>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</si>
  <si>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</si>
  <si>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</si>
  <si>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</si>
  <si>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</si>
  <si>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</si>
  <si>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</si>
  <si>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</si>
  <si>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</si>
  <si>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</si>
  <si>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</si>
  <si>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</si>
  <si>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</si>
  <si>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</si>
  <si>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</si>
  <si>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</si>
  <si>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</si>
  <si>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</si>
  <si>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</si>
  <si>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</si>
  <si>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</si>
  <si>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</si>
  <si>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</si>
  <si>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</si>
  <si>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</si>
  <si>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</si>
  <si>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</si>
  <si>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</si>
  <si>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</si>
  <si>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</si>
  <si>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</si>
  <si>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</si>
  <si>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</si>
  <si>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</si>
  <si>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</si>
  <si>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</si>
  <si>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</si>
  <si>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</si>
  <si>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</si>
  <si>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</si>
  <si>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</si>
  <si>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</si>
  <si>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</si>
  <si>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</si>
  <si>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</si>
  <si>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</si>
  <si>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</si>
  <si>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</si>
  <si>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</si>
  <si>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</si>
  <si>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</si>
  <si>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</si>
  <si>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</si>
  <si>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</si>
  <si>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</si>
  <si>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</si>
  <si>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</si>
  <si>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</si>
  <si>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</si>
  <si>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</si>
  <si>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</si>
  <si>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</si>
  <si>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</si>
  <si>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</si>
  <si>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</si>
  <si>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</si>
  <si>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</si>
  <si>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</si>
  <si>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</si>
  <si>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</si>
  <si>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</si>
  <si>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</si>
  <si>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</si>
  <si>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</si>
  <si>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</si>
  <si>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</si>
  <si>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</si>
  <si>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</si>
  <si>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</si>
  <si>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</si>
  <si>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</si>
  <si>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</si>
  <si>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</si>
  <si>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</si>
  <si>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</si>
  <si>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</si>
  <si>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</si>
  <si>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</si>
  <si>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</si>
  <si>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</si>
  <si>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</si>
  <si>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</si>
  <si>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</si>
  <si>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</si>
  <si>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</si>
  <si>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</si>
  <si>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</si>
  <si>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</si>
  <si>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</si>
  <si>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</si>
  <si>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</si>
  <si>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</si>
  <si>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</si>
  <si>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</si>
  <si>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</si>
  <si>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</si>
  <si>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</si>
  <si>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</si>
  <si>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</si>
  <si>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</si>
  <si>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</si>
  <si>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</si>
  <si>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</si>
  <si>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</si>
  <si>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</si>
  <si>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</si>
  <si>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</si>
  <si>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</si>
  <si>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</si>
  <si>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</si>
  <si>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</si>
  <si>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</si>
  <si>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</si>
  <si>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</si>
  <si>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</si>
  <si>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</si>
  <si>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</si>
  <si>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</si>
  <si>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</si>
  <si>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</si>
  <si>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</si>
  <si>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</si>
  <si>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</si>
  <si>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</si>
  <si>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</si>
  <si>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</si>
  <si>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</si>
  <si>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</si>
  <si>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</si>
  <si>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</si>
  <si>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</si>
  <si>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</si>
  <si>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</si>
  <si>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</si>
  <si>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</si>
  <si>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</si>
  <si>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</si>
  <si>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</si>
  <si>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</si>
  <si>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</si>
  <si>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</si>
  <si>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</si>
  <si>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</si>
  <si>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</si>
  <si>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</si>
  <si>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</si>
  <si>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</si>
  <si>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</si>
  <si>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</si>
  <si>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</si>
  <si>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</si>
  <si>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</si>
  <si>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</si>
  <si>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</si>
  <si>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</si>
  <si>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</si>
  <si>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</si>
  <si>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</si>
  <si>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</si>
  <si>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</si>
  <si>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</si>
  <si>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</si>
  <si>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</si>
  <si>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</si>
  <si>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</si>
  <si>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</si>
  <si>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</si>
  <si>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</si>
  <si>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</si>
  <si>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</si>
  <si>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</si>
  <si>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</si>
  <si>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</si>
  <si>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</si>
  <si>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</si>
  <si>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</si>
  <si>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</si>
  <si>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</si>
  <si>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</si>
  <si>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</si>
  <si>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</si>
  <si>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</si>
  <si>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</si>
  <si>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</si>
  <si>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</si>
  <si>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</si>
  <si>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</si>
  <si>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</si>
  <si>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</si>
  <si>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</si>
  <si>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</si>
  <si>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</si>
  <si>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</si>
  <si>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</si>
  <si>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</si>
  <si>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</si>
  <si>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</si>
  <si>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</si>
  <si>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</si>
  <si>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</si>
  <si>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</si>
  <si>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</si>
  <si>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</si>
  <si>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</si>
  <si>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</si>
  <si>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</si>
  <si>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</si>
  <si>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</si>
  <si>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</si>
  <si>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</si>
  <si>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</si>
  <si>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</si>
  <si>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</si>
  <si>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</si>
  <si>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</si>
  <si>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</si>
  <si>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</si>
  <si>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</si>
  <si>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</si>
  <si>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</si>
  <si>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</si>
  <si>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</si>
  <si>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</si>
  <si>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</si>
  <si>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</si>
  <si>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</si>
  <si>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</si>
  <si>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</si>
  <si>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</si>
  <si>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</si>
  <si>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</si>
  <si>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</si>
  <si>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</si>
  <si>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</si>
  <si>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</si>
  <si>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</si>
  <si>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</si>
  <si>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</si>
  <si>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</si>
  <si>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</si>
  <si>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</si>
  <si>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</si>
  <si>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</si>
  <si>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</si>
  <si>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</si>
  <si>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</si>
  <si>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</si>
  <si>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</si>
  <si>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</si>
  <si>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</si>
  <si>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</si>
  <si>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</si>
  <si>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</si>
  <si>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</si>
  <si>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</si>
  <si>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</si>
  <si>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</si>
  <si>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</si>
  <si>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</si>
  <si>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</si>
  <si>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</si>
  <si>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</si>
  <si>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</si>
  <si>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</si>
  <si>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</si>
  <si>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</si>
  <si>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</si>
  <si>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</si>
  <si>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</si>
  <si>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</si>
  <si>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</si>
  <si>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</si>
  <si>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</si>
  <si>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</si>
  <si>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</si>
  <si>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</si>
  <si>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</si>
  <si>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</si>
  <si>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</si>
  <si>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</si>
  <si>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</si>
  <si>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</si>
  <si>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</si>
  <si>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</si>
  <si>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</si>
  <si>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</si>
  <si>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</si>
  <si>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</si>
  <si>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</si>
  <si>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</si>
  <si>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</si>
  <si>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</si>
  <si>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</si>
  <si>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</si>
  <si>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</si>
  <si>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</si>
  <si>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</si>
  <si>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</si>
  <si>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</si>
  <si>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</si>
  <si>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</si>
  <si>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</si>
  <si>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</si>
  <si>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</si>
  <si>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</si>
  <si>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</si>
  <si>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</si>
  <si>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</si>
  <si>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</si>
  <si>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</si>
  <si>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</si>
  <si>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</si>
  <si>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</si>
  <si>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</si>
  <si>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</si>
  <si>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</si>
  <si>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</si>
  <si>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</si>
  <si>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</si>
  <si>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</si>
  <si>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</si>
  <si>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</si>
  <si>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</si>
  <si>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</si>
  <si>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</si>
  <si>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</si>
  <si>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</si>
  <si>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</si>
  <si>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</si>
  <si>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</si>
  <si>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</si>
  <si>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</si>
  <si>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</si>
  <si>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</si>
  <si>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</si>
  <si>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</si>
  <si>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</si>
  <si>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</si>
  <si>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</si>
  <si>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</si>
  <si>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</si>
  <si>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</si>
  <si>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</si>
  <si>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</si>
  <si>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</si>
  <si>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</si>
  <si>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</si>
  <si>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</si>
  <si>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</si>
  <si>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</si>
  <si>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</si>
  <si>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</si>
  <si>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</si>
  <si>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</si>
  <si>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</si>
  <si>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</si>
  <si>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</si>
  <si>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</si>
  <si>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</si>
  <si>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</si>
  <si>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</si>
  <si>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</si>
  <si>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</si>
  <si>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</si>
  <si>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</si>
  <si>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</si>
  <si>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</si>
  <si>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</si>
  <si>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</si>
  <si>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</si>
  <si>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</si>
  <si>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</si>
  <si>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</si>
  <si>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</si>
  <si>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</si>
  <si>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</si>
  <si>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</si>
  <si>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</si>
  <si>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</si>
  <si>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</si>
  <si>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</si>
  <si>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</si>
  <si>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</si>
  <si>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</si>
  <si>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</si>
  <si>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</si>
  <si>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</si>
  <si>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</si>
  <si>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</si>
  <si>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</si>
  <si>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</si>
  <si>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</si>
  <si>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</si>
  <si>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</si>
  <si>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</si>
  <si>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</si>
  <si>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</si>
  <si>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</si>
  <si>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</si>
  <si>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</si>
  <si>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</si>
  <si>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</si>
  <si>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</si>
  <si>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</si>
  <si>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</si>
  <si>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</si>
  <si>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</si>
  <si>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</si>
  <si>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</si>
  <si>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</si>
  <si>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</si>
  <si>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</si>
  <si>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</si>
  <si>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</si>
  <si>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</si>
  <si>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</si>
  <si>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</si>
  <si>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</si>
  <si>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</si>
  <si>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</si>
  <si>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</si>
  <si>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</si>
  <si>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</si>
  <si>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</si>
  <si>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</si>
  <si>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</si>
  <si>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</si>
  <si>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</si>
  <si>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</si>
  <si>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</si>
  <si>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</si>
  <si>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</si>
  <si>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</si>
  <si>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</si>
  <si>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</si>
  <si>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</si>
  <si>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</si>
  <si>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</si>
  <si>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</si>
  <si>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</si>
  <si>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</si>
  <si>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</si>
  <si>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</si>
  <si>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</si>
  <si>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</si>
  <si>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</si>
  <si>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</si>
  <si>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</si>
  <si>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</si>
  <si>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</si>
  <si>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</si>
  <si>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</si>
  <si>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</si>
  <si>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</si>
  <si>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</si>
  <si>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</si>
  <si>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</si>
  <si>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</si>
  <si>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</si>
  <si>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</si>
  <si>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</si>
  <si>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</si>
  <si>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</si>
  <si>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</si>
  <si>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</si>
  <si>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</si>
  <si>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</si>
  <si>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</si>
  <si>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</si>
  <si>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</si>
  <si>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</si>
  <si>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</si>
  <si>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</si>
  <si>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</si>
  <si>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</si>
  <si>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</si>
  <si>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</si>
  <si>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</si>
  <si>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</si>
  <si>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</si>
  <si>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</si>
  <si>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</si>
  <si>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</si>
  <si>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</si>
  <si>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</si>
  <si>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</si>
  <si>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</si>
  <si>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</si>
  <si>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</si>
  <si>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</si>
  <si>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</si>
  <si>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</si>
  <si>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</si>
  <si>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</si>
  <si>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</si>
  <si>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</si>
  <si>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</si>
  <si>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</si>
  <si>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</si>
  <si>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</si>
  <si>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</si>
  <si>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</si>
  <si>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</si>
  <si>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</si>
  <si>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</si>
  <si>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</si>
  <si>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</si>
  <si>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</si>
  <si>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</si>
  <si>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</si>
  <si>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</si>
  <si>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</si>
  <si>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</si>
  <si>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</si>
  <si>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</si>
  <si>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</si>
  <si>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</si>
  <si>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</si>
  <si>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</si>
  <si>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</si>
  <si>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</si>
  <si>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</si>
  <si>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</si>
  <si>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</si>
  <si>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</si>
  <si>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</si>
  <si>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</si>
  <si>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</si>
  <si>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</si>
  <si>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</si>
  <si>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</si>
  <si>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</si>
  <si>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</si>
  <si>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</si>
  <si>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</si>
  <si>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</si>
  <si>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</si>
  <si>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</si>
  <si>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</si>
  <si>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</si>
  <si>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</si>
  <si>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</si>
  <si>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</si>
  <si>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</si>
  <si>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</si>
  <si>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</si>
  <si>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</si>
  <si>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</si>
  <si>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</si>
  <si>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</si>
  <si>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</si>
  <si>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</si>
  <si>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</si>
  <si>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</si>
  <si>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</si>
  <si>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</si>
  <si>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</si>
  <si>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</si>
  <si>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</si>
  <si>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</si>
  <si>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</si>
  <si>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</si>
  <si>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</si>
  <si>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</si>
  <si>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</si>
  <si>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</si>
  <si>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</si>
  <si>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</si>
  <si>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</si>
  <si>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</si>
  <si>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</si>
  <si>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</si>
  <si>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</si>
  <si>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</si>
  <si>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</si>
  <si>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</si>
  <si>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</si>
  <si>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</si>
  <si>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</si>
  <si>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</si>
  <si>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</si>
  <si>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</si>
  <si>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</si>
  <si>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</si>
  <si>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</si>
  <si>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</si>
  <si>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</si>
  <si>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</si>
  <si>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</si>
  <si>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</si>
  <si>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</si>
  <si>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</si>
  <si>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</si>
  <si>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</si>
  <si>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</si>
  <si>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</si>
  <si>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</si>
  <si>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</si>
  <si>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</si>
  <si>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</si>
  <si>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</si>
  <si>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</si>
  <si>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</si>
  <si>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</si>
  <si>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</si>
  <si>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</si>
  <si>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</si>
  <si>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</si>
  <si>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</si>
  <si>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</si>
  <si>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</si>
  <si>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</si>
  <si>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</si>
  <si>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</si>
  <si>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</si>
  <si>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</si>
  <si>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</si>
  <si>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</si>
  <si>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</si>
  <si>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</si>
  <si>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</si>
  <si>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</si>
  <si>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</si>
  <si>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</si>
  <si>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</si>
  <si>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</si>
  <si>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</si>
  <si>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</si>
  <si>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</si>
  <si>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</si>
  <si>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</si>
  <si>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</si>
  <si>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</si>
  <si>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</si>
  <si>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</si>
  <si>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</si>
  <si>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</si>
  <si>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</si>
  <si>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</si>
  <si>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</si>
  <si>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</si>
  <si>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</si>
  <si>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</si>
  <si>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</si>
  <si>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</si>
  <si>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</si>
  <si>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</si>
  <si>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</si>
  <si>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</si>
  <si>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</si>
  <si>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</si>
  <si>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</si>
  <si>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</si>
  <si>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</si>
  <si>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</si>
  <si>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</si>
  <si>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</si>
  <si>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</si>
  <si>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</si>
  <si>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</si>
  <si>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</si>
  <si>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</si>
  <si>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</si>
  <si>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</si>
  <si>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</si>
  <si>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</si>
  <si>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</si>
  <si>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</si>
  <si>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</si>
  <si>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</si>
  <si>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</si>
  <si>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</si>
  <si>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</si>
  <si>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</si>
  <si>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</si>
  <si>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</si>
  <si>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</si>
  <si>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</si>
  <si>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</si>
  <si>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</si>
  <si>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</si>
  <si>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</si>
  <si>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</si>
  <si>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</si>
  <si>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</si>
  <si>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</si>
  <si>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</si>
  <si>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</si>
  <si>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</si>
  <si>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</si>
  <si>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</si>
  <si>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</si>
  <si>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</si>
  <si>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</si>
  <si>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</si>
  <si>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</si>
  <si>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</si>
  <si>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</si>
  <si>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</si>
  <si>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</si>
  <si>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</si>
  <si>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</si>
  <si>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</si>
  <si>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</si>
  <si>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</si>
  <si>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</si>
  <si>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</si>
  <si>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</si>
  <si>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</si>
  <si>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</si>
  <si>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</si>
  <si>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</si>
  <si>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</si>
  <si>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</si>
  <si>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</si>
  <si>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</si>
  <si>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</si>
  <si>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</si>
  <si>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</si>
  <si>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</si>
  <si>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</si>
  <si>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</si>
  <si>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</si>
  <si>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</si>
  <si>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</si>
  <si>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</si>
  <si>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</si>
  <si>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</si>
  <si>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</si>
  <si>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</si>
  <si>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</si>
  <si>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</si>
  <si>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</si>
  <si>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</si>
  <si>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</si>
  <si>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</si>
  <si>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</si>
  <si>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</si>
  <si>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</si>
  <si>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</si>
  <si>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</si>
  <si>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</si>
  <si>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</si>
  <si>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</si>
  <si>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</si>
  <si>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</si>
  <si>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</si>
  <si>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</si>
  <si>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</si>
  <si>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</si>
  <si>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</si>
  <si>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</si>
  <si>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</si>
  <si>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</si>
  <si>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</si>
  <si>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</si>
  <si>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</si>
  <si>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</si>
  <si>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</si>
  <si>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</si>
  <si>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</si>
  <si>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</si>
  <si>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</si>
  <si>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</si>
  <si>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</si>
  <si>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</si>
  <si>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</si>
  <si>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</si>
  <si>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</si>
  <si>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</si>
  <si>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</si>
  <si>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</si>
  <si>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</si>
  <si>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</si>
  <si>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</si>
  <si>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</si>
  <si>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</si>
  <si>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</si>
  <si>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</si>
  <si>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</si>
  <si>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</si>
  <si>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</si>
  <si>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</si>
  <si>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</si>
  <si>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</si>
  <si>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</si>
  <si>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</si>
  <si>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</si>
  <si>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</si>
  <si>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</si>
  <si>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</si>
  <si>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</si>
  <si>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</si>
  <si>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</si>
  <si>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</si>
  <si>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</si>
  <si>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</si>
  <si>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</si>
  <si>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</si>
  <si>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</si>
  <si>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</si>
  <si>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</si>
  <si>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</si>
  <si>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</si>
  <si>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</si>
  <si>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</si>
  <si>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</si>
  <si>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</si>
  <si>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</si>
  <si>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</si>
  <si>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</si>
  <si>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</si>
  <si>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</si>
  <si>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</si>
  <si>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</si>
  <si>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</si>
  <si>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</si>
  <si>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</si>
  <si>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</si>
  <si>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</si>
  <si>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</si>
  <si>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</si>
  <si>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</si>
  <si>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</si>
  <si>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</si>
  <si>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</si>
  <si>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</si>
  <si>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</si>
  <si>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</si>
  <si>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</si>
  <si>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</si>
  <si>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</si>
  <si>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</si>
  <si>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</si>
  <si>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</si>
  <si>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</si>
  <si>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</si>
  <si>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</si>
  <si>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</si>
  <si>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</si>
  <si>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</si>
  <si>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</si>
  <si>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</si>
  <si>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</si>
  <si>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</si>
  <si>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</si>
  <si>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</si>
  <si>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</si>
  <si>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</si>
  <si>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</si>
  <si>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</si>
  <si>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</si>
  <si>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</si>
  <si>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</si>
  <si>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</si>
  <si>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</si>
  <si>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</si>
  <si>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</si>
  <si>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</si>
  <si>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</si>
  <si>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</si>
  <si>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</si>
  <si>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</si>
  <si>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</si>
  <si>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</si>
  <si>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</si>
  <si>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</si>
  <si>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</si>
  <si>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</si>
  <si>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</si>
  <si>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</si>
  <si>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</si>
  <si>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</si>
  <si>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</si>
  <si>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</si>
  <si>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</si>
  <si>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</si>
  <si>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</si>
  <si>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</si>
  <si>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</si>
  <si>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</si>
  <si>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</si>
  <si>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</si>
  <si>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</si>
  <si>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</si>
  <si>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</si>
  <si>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</si>
  <si>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</si>
  <si>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</si>
  <si>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</si>
  <si>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</si>
  <si>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</si>
  <si>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</si>
  <si>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</si>
  <si>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</si>
  <si>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</si>
  <si>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</si>
  <si>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</si>
  <si>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</si>
  <si>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</si>
  <si>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</si>
  <si>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</si>
  <si>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</si>
  <si>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</si>
  <si>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</si>
  <si>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</si>
  <si>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</si>
  <si>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</si>
  <si>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</si>
  <si>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</si>
  <si>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</si>
  <si>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</si>
  <si>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</si>
  <si>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</si>
  <si>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</si>
  <si>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</si>
  <si>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</si>
  <si>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</si>
  <si>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</si>
  <si>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</si>
  <si>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</si>
  <si>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</si>
  <si>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</si>
  <si>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</si>
  <si>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</si>
  <si>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</si>
  <si>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</si>
  <si>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</si>
  <si>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</si>
  <si>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</si>
  <si>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</si>
  <si>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</si>
  <si>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</si>
  <si>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</si>
  <si>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</si>
  <si>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</si>
  <si>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</si>
  <si>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</si>
  <si>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</si>
  <si>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</si>
  <si>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</si>
  <si>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</si>
  <si>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</si>
  <si>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</si>
  <si>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</si>
  <si>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</si>
  <si>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</si>
  <si>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</si>
  <si>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</si>
  <si>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</si>
  <si>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</si>
  <si>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</si>
  <si>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</si>
  <si>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</si>
  <si>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</si>
  <si>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</si>
  <si>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</si>
  <si>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</si>
  <si>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</si>
  <si>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</si>
  <si>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</si>
  <si>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</si>
  <si>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</si>
  <si>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</si>
  <si>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</si>
  <si>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</si>
  <si>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</si>
  <si>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</si>
  <si>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</si>
  <si>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</si>
  <si>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</si>
  <si>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</si>
  <si>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</si>
  <si>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</si>
  <si>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</si>
  <si>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</si>
  <si>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</si>
  <si>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</si>
  <si>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</si>
  <si>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</si>
  <si>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</si>
  <si>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</si>
  <si>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</si>
  <si>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</si>
  <si>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</si>
  <si>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</si>
  <si>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</si>
  <si>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</si>
  <si>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</si>
  <si>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</si>
  <si>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</si>
  <si>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</si>
  <si>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</si>
  <si>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</si>
  <si>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</si>
  <si>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</si>
  <si>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</si>
  <si>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</si>
  <si>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</si>
  <si>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</si>
  <si>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</si>
  <si>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</si>
  <si>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</si>
  <si>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</si>
  <si>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</si>
  <si>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</si>
  <si>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</si>
  <si>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</si>
  <si>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</si>
  <si>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</si>
  <si>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</si>
  <si>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</si>
  <si>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</si>
  <si>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</si>
  <si>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</si>
  <si>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</si>
  <si>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</si>
  <si>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</si>
  <si>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</si>
  <si>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</si>
  <si>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</si>
  <si>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</si>
  <si>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</si>
  <si>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</si>
  <si>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</si>
  <si>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</si>
  <si>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</si>
  <si>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</si>
  <si>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</si>
  <si>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</si>
  <si>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</si>
  <si>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</si>
  <si>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</si>
  <si>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</si>
  <si>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</si>
  <si>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</si>
  <si>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</si>
  <si>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</si>
  <si>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</si>
  <si>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</si>
  <si>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</si>
  <si>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</si>
  <si>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</si>
  <si>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</si>
  <si>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</si>
  <si>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</si>
  <si>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</si>
  <si>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</si>
  <si>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</si>
  <si>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</si>
  <si>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</si>
  <si>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</si>
  <si>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</si>
  <si>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</si>
  <si>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</si>
  <si>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</si>
  <si>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</si>
  <si>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</si>
  <si>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</si>
  <si>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</si>
  <si>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</si>
  <si>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</si>
  <si>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</si>
  <si>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</si>
  <si>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</si>
  <si>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</si>
  <si>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</si>
  <si>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</si>
  <si>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</si>
  <si>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</si>
  <si>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</si>
  <si>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</si>
  <si>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</si>
  <si>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</si>
  <si>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</si>
  <si>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</si>
  <si>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</si>
  <si>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</si>
  <si>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</si>
  <si>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</si>
  <si>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</si>
  <si>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</si>
  <si>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</si>
  <si>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</si>
  <si>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</si>
  <si>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</si>
  <si>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</si>
  <si>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</si>
  <si>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</si>
  <si>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</si>
  <si>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</si>
  <si>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</si>
  <si>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</si>
  <si>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</si>
  <si>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</si>
  <si>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</si>
  <si>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</si>
  <si>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</si>
  <si>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</si>
  <si>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</si>
  <si>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</si>
  <si>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</si>
  <si>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</si>
  <si>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</si>
  <si>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</si>
  <si>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</si>
  <si>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</si>
  <si>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</si>
  <si>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</si>
  <si>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</si>
  <si>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</si>
  <si>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</si>
  <si>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</si>
  <si>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</si>
  <si>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</si>
  <si>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</si>
  <si>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</si>
  <si>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</si>
  <si>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</si>
  <si>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</si>
  <si>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</si>
  <si>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</si>
  <si>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</si>
  <si>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</si>
  <si>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</si>
  <si>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</si>
  <si>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</si>
  <si>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</si>
  <si>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</si>
  <si>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</si>
  <si>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</si>
  <si>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</si>
  <si>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</si>
  <si>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</si>
  <si>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</si>
  <si>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</si>
  <si>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</si>
  <si>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</si>
  <si>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</si>
  <si>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</si>
  <si>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</si>
  <si>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</si>
  <si>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</si>
  <si>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</si>
  <si>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</si>
  <si>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</si>
  <si>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</si>
  <si>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</si>
  <si>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</si>
  <si>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</si>
  <si>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</si>
  <si>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</si>
  <si>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</si>
  <si>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</si>
  <si>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</si>
  <si>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</si>
  <si>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</si>
  <si>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</si>
  <si>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</si>
  <si>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</si>
  <si>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</si>
  <si>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</si>
  <si>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</si>
  <si>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</si>
  <si>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</si>
  <si>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</si>
  <si>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</si>
  <si>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</si>
  <si>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</si>
  <si>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</si>
  <si>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</si>
  <si>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</si>
  <si>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</si>
  <si>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</si>
  <si>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</si>
  <si>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</si>
  <si>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</si>
  <si>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</si>
  <si>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</si>
  <si>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</si>
  <si>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</si>
  <si>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</si>
  <si>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</si>
  <si>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</si>
  <si>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</si>
  <si>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</si>
  <si>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</si>
  <si>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</si>
  <si>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</si>
  <si>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</si>
  <si>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</si>
  <si>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</si>
  <si>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</si>
  <si>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</si>
  <si>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</si>
  <si>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</si>
  <si>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</si>
  <si>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</si>
  <si>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</si>
  <si>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</si>
  <si>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</si>
  <si>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</si>
  <si>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</si>
  <si>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</si>
  <si>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</si>
  <si>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</si>
  <si>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</si>
  <si>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</si>
  <si>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</si>
  <si>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</si>
  <si>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</si>
  <si>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</si>
  <si>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</si>
  <si>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</si>
  <si>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</si>
  <si>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</si>
  <si>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</si>
  <si>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</si>
  <si>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</si>
  <si>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</si>
  <si>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</si>
  <si>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</si>
  <si>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</si>
  <si>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</si>
  <si>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</si>
  <si>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</si>
  <si>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</si>
  <si>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</si>
  <si>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</si>
  <si>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</si>
  <si>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</si>
  <si>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</si>
  <si>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</si>
  <si>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</si>
  <si>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</si>
  <si>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</si>
  <si>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</si>
  <si>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</si>
  <si>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</si>
  <si>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</si>
  <si>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</si>
  <si>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</si>
  <si>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</si>
  <si>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</si>
  <si>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</si>
  <si>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</si>
  <si>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</si>
  <si>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</si>
  <si>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</si>
  <si>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</si>
  <si>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</si>
  <si>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</si>
  <si>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</si>
  <si>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</si>
  <si>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</si>
  <si>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</si>
  <si>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</si>
  <si>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</si>
  <si>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</si>
  <si>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</si>
  <si>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</si>
  <si>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</si>
  <si>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</si>
  <si>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</si>
  <si>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</si>
  <si>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</si>
  <si>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</si>
  <si>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</si>
  <si>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</si>
  <si>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</si>
  <si>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</si>
  <si>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</si>
  <si>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</si>
  <si>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</si>
  <si>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</si>
  <si>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</si>
  <si>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</si>
  <si>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</si>
  <si>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</si>
  <si>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</si>
  <si>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</si>
  <si>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</si>
  <si>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</si>
  <si>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</si>
  <si>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</si>
  <si>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</si>
  <si>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</si>
  <si>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</si>
  <si>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</si>
  <si>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</si>
  <si>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</si>
  <si>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</si>
  <si>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</si>
  <si>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</si>
  <si>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</si>
  <si>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</si>
  <si>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</si>
  <si>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</si>
  <si>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</si>
  <si>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</si>
  <si>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</si>
  <si>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</si>
  <si>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</si>
  <si>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</si>
  <si>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</si>
  <si>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</si>
  <si>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</si>
  <si>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</si>
  <si>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</si>
  <si>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</si>
  <si>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</si>
  <si>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</si>
  <si>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</si>
  <si>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</si>
  <si>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</si>
  <si>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</si>
  <si>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</si>
  <si>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</si>
  <si>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</si>
  <si>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</si>
  <si>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</si>
  <si>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</si>
  <si>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</si>
  <si>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</si>
  <si>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</si>
  <si>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</si>
  <si>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</si>
  <si>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</si>
  <si>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</si>
  <si>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</si>
  <si>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</si>
  <si>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</si>
  <si>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</si>
  <si>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</si>
  <si>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</si>
  <si>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</si>
  <si>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</si>
  <si>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</si>
  <si>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</si>
  <si>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</si>
  <si>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</si>
  <si>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</si>
  <si>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</si>
  <si>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</si>
  <si>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</si>
  <si>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</si>
  <si>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</si>
  <si>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</si>
  <si>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</si>
  <si>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</si>
  <si>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</si>
  <si>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</si>
  <si>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</si>
  <si>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</si>
  <si>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</si>
  <si>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</si>
  <si>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</si>
  <si>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</si>
  <si>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</si>
  <si>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</si>
  <si>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</si>
  <si>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</si>
  <si>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</si>
  <si>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</si>
  <si>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</si>
  <si>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</si>
  <si>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</si>
  <si>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</si>
  <si>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</si>
  <si>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</si>
  <si>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</si>
  <si>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</si>
  <si>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</si>
  <si>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</si>
  <si>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</si>
  <si>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</si>
  <si>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</si>
  <si>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</si>
  <si>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</si>
  <si>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</si>
  <si>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</si>
  <si>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</si>
  <si>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</si>
  <si>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</si>
  <si>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</si>
  <si>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</si>
  <si>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</si>
  <si>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</si>
  <si>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</si>
  <si>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</si>
  <si>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</si>
  <si>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</si>
  <si>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</si>
  <si>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</si>
  <si>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</si>
  <si>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</si>
  <si>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</si>
  <si>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</si>
  <si>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</si>
  <si>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</si>
  <si>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</si>
  <si>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</si>
  <si>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</si>
  <si>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</si>
  <si>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</si>
  <si>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</si>
  <si>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</si>
  <si>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</si>
  <si>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</si>
  <si>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</si>
  <si>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</si>
  <si>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</si>
  <si>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</si>
  <si>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</si>
  <si>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</si>
  <si>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</si>
  <si>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</si>
  <si>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</si>
  <si>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</si>
  <si>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</si>
  <si>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</si>
  <si>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</si>
  <si>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</si>
  <si>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</si>
  <si>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</si>
  <si>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</si>
  <si>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</si>
  <si>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</si>
  <si>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</si>
  <si>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</si>
  <si>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</si>
  <si>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</si>
  <si>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</si>
  <si>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</si>
  <si>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</si>
  <si>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</si>
  <si>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</si>
  <si>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</si>
  <si>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</si>
  <si>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</si>
  <si>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</si>
  <si>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</si>
  <si>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</si>
  <si>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</si>
  <si>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</si>
  <si>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</si>
  <si>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</si>
  <si>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</si>
  <si>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</si>
  <si>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</si>
  <si>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</si>
  <si>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</si>
  <si>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</si>
  <si>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</si>
  <si>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</si>
  <si>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</si>
  <si>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</si>
  <si>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</si>
  <si>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</si>
  <si>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</si>
  <si>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</si>
  <si>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</si>
  <si>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</si>
  <si>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</si>
  <si>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</si>
  <si>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</si>
  <si>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</si>
  <si>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</si>
  <si>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</si>
  <si>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</si>
  <si>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</si>
  <si>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</si>
  <si>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</si>
  <si>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</si>
  <si>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</si>
  <si>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</si>
  <si>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</si>
  <si>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</si>
  <si>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</si>
  <si>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</si>
  <si>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</si>
  <si>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</si>
  <si>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</si>
  <si>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</si>
  <si>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</si>
  <si>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</si>
  <si>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</si>
  <si>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</si>
  <si>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</si>
  <si>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</si>
  <si>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</si>
  <si>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</si>
  <si>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</si>
  <si>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</si>
  <si>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</si>
  <si>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</si>
  <si>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</si>
  <si>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</si>
  <si>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</si>
  <si>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</si>
  <si>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</si>
  <si>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</si>
  <si>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</si>
  <si>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</si>
  <si>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</si>
  <si>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</si>
  <si>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</si>
  <si>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</si>
  <si>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</si>
  <si>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</si>
  <si>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</si>
  <si>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</si>
  <si>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</si>
  <si>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</si>
  <si>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</si>
  <si>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</si>
  <si>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</si>
  <si>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</si>
  <si>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</si>
  <si>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</si>
  <si>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</si>
  <si>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</si>
  <si>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</si>
  <si>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</si>
  <si>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</si>
  <si>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</si>
  <si>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</si>
  <si>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</si>
  <si>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</si>
  <si>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</si>
  <si>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</si>
  <si>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</si>
  <si>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</si>
  <si>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</si>
  <si>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</si>
  <si>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</si>
  <si>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</si>
  <si>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</si>
  <si>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</si>
  <si>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</si>
  <si>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</si>
  <si>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</si>
  <si>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</si>
  <si>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</si>
  <si>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</si>
  <si>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</si>
  <si>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</si>
  <si>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</si>
  <si>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</si>
  <si>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</si>
  <si>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</si>
  <si>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</si>
  <si>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</si>
  <si>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</si>
  <si>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</si>
  <si>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</si>
  <si>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</si>
  <si>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</si>
  <si>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</si>
  <si>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</si>
  <si>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</si>
  <si>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</si>
  <si>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</si>
  <si>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</si>
  <si>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</si>
  <si>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</si>
  <si>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</si>
  <si>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</si>
  <si>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</si>
  <si>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</si>
  <si>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</si>
  <si>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</si>
  <si>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</si>
  <si>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</si>
  <si>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</si>
  <si>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</si>
  <si>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</si>
  <si>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</si>
  <si>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</si>
  <si>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</si>
  <si>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</si>
  <si>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</si>
  <si>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</si>
  <si>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</si>
  <si>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</si>
  <si>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</si>
  <si>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</si>
  <si>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</si>
  <si>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</si>
  <si>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</si>
  <si>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</si>
  <si>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</si>
  <si>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</si>
  <si>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</si>
  <si>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</si>
  <si>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</si>
  <si>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</si>
  <si>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</si>
  <si>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</si>
  <si>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</si>
  <si>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</si>
  <si>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</si>
  <si>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</si>
  <si>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</si>
  <si>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</si>
  <si>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</si>
  <si>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</si>
  <si>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</si>
  <si>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</si>
  <si>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</si>
  <si>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</si>
  <si>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</si>
  <si>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</si>
  <si>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</si>
  <si>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</si>
  <si>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</si>
  <si>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</si>
  <si>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</si>
  <si>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</si>
  <si>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</si>
  <si>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</si>
  <si>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</si>
  <si>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</si>
  <si>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</si>
  <si>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</si>
  <si>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</si>
  <si>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</si>
  <si>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</si>
  <si>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</si>
  <si>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</si>
  <si>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</si>
  <si>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</si>
  <si>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</si>
  <si>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</si>
  <si>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</si>
  <si>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</si>
  <si>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</si>
  <si>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</si>
  <si>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</si>
  <si>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</si>
  <si>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</si>
  <si>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</si>
  <si>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</si>
  <si>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</si>
  <si>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</si>
  <si>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</si>
  <si>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</si>
  <si>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</si>
  <si>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</si>
  <si>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</si>
  <si>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</si>
  <si>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</si>
  <si>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</si>
  <si>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</si>
  <si>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</si>
  <si>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</si>
  <si>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</si>
  <si>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</si>
  <si>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</si>
  <si>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</si>
  <si>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</si>
  <si>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</si>
  <si>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</si>
  <si>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</si>
  <si>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</si>
  <si>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</si>
  <si>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</si>
  <si>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</si>
  <si>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</si>
  <si>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</si>
  <si>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</si>
  <si>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</si>
  <si>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</si>
  <si>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</si>
  <si>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</si>
  <si>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</si>
  <si>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</si>
  <si>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</si>
  <si>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</si>
  <si>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</si>
  <si>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</si>
  <si>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</si>
  <si>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</si>
  <si>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</si>
  <si>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</si>
  <si>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</si>
  <si>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</si>
  <si>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</si>
  <si>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</si>
  <si>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</si>
  <si>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</si>
  <si>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</si>
  <si>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</si>
  <si>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</si>
  <si>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</si>
  <si>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</si>
  <si>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</si>
  <si>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</si>
  <si>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</si>
  <si>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</si>
  <si>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</si>
  <si>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</si>
  <si>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</si>
  <si>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</si>
  <si>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</si>
  <si>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</si>
  <si>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</si>
  <si>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</si>
  <si>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</si>
  <si>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</si>
  <si>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</si>
  <si>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</si>
  <si>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</si>
  <si>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</si>
  <si>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</si>
  <si>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</si>
  <si>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</si>
  <si>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</si>
  <si>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</si>
  <si>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</si>
  <si>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</si>
  <si>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</si>
  <si>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</si>
  <si>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</si>
  <si>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</si>
  <si>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</si>
  <si>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</si>
  <si>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</si>
  <si>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</si>
  <si>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</si>
  <si>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</si>
  <si>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</si>
  <si>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</si>
  <si>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</si>
  <si>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</si>
  <si>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</si>
  <si>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</si>
  <si>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</si>
  <si>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</si>
  <si>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</si>
  <si>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</si>
  <si>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</si>
  <si>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</si>
  <si>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</si>
  <si>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</si>
  <si>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</si>
  <si>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</si>
  <si>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</si>
  <si>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</si>
  <si>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</si>
  <si>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</si>
  <si>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</si>
  <si>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</si>
  <si>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</si>
  <si>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</si>
  <si>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</si>
  <si>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</si>
  <si>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</si>
  <si>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</si>
  <si>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</si>
  <si>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</si>
  <si>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</si>
  <si>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</si>
  <si>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</si>
  <si>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</si>
  <si>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</si>
  <si>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</si>
  <si>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</si>
  <si>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</si>
  <si>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</si>
  <si>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</si>
  <si>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</si>
  <si>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</si>
  <si>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</si>
  <si>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</si>
  <si>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</si>
  <si>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</si>
  <si>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</si>
  <si>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</si>
  <si>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</si>
  <si>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</si>
  <si>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</si>
  <si>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</si>
  <si>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</si>
  <si>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</si>
  <si>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</si>
  <si>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</si>
  <si>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</si>
  <si>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</si>
  <si>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</si>
  <si>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</si>
  <si>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</si>
  <si>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</si>
  <si>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</si>
  <si>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</si>
  <si>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</si>
  <si>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</si>
  <si>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</si>
  <si>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</si>
  <si>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</si>
  <si>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</si>
  <si>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</si>
  <si>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</si>
  <si>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</si>
  <si>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</si>
  <si>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</si>
  <si>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</si>
  <si>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</si>
  <si>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</si>
  <si>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</si>
  <si>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</si>
  <si>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</si>
  <si>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</si>
  <si>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</si>
  <si>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</si>
  <si>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</si>
  <si>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</si>
  <si>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</si>
  <si>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</si>
  <si>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</si>
  <si>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</si>
  <si>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</si>
  <si>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</si>
  <si>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</si>
  <si>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</si>
  <si>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</si>
  <si>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</si>
  <si>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</si>
  <si>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</si>
  <si>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</si>
  <si>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</si>
  <si>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</si>
  <si>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</si>
  <si>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</si>
  <si>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</si>
  <si>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</si>
  <si>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</si>
  <si>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</si>
  <si>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</si>
  <si>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</si>
  <si>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</si>
  <si>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</si>
  <si>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</si>
  <si>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</si>
  <si>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</si>
  <si>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</si>
  <si>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</si>
  <si>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</si>
  <si>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</si>
  <si>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</si>
  <si>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</si>
  <si>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</si>
  <si>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</si>
  <si>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</si>
  <si>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</si>
  <si>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</si>
  <si>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</si>
  <si>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</si>
  <si>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</si>
  <si>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</si>
  <si>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</si>
  <si>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</si>
  <si>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</si>
  <si>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</si>
  <si>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</si>
  <si>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</si>
  <si>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</si>
  <si>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</si>
  <si>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</si>
  <si>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</si>
  <si>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</si>
  <si>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</si>
  <si>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</si>
  <si>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</si>
  <si>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</si>
  <si>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</si>
  <si>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</si>
  <si>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</si>
  <si>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</si>
  <si>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</si>
  <si>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</si>
  <si>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</si>
  <si>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</si>
  <si>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</si>
  <si>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</si>
  <si>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</si>
  <si>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</si>
  <si>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</si>
  <si>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</si>
  <si>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</si>
  <si>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</si>
  <si>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</si>
  <si>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</si>
  <si>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</si>
  <si>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</si>
  <si>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</si>
  <si>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</si>
  <si>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</si>
  <si>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</si>
  <si>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</si>
  <si>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</si>
  <si>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</si>
  <si>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</si>
  <si>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</si>
  <si>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</si>
  <si>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</si>
  <si>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</si>
  <si>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</si>
  <si>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</si>
  <si>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</si>
  <si>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</si>
  <si>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</si>
  <si>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</si>
  <si>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</si>
  <si>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</si>
  <si>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</si>
  <si>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</si>
  <si>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</si>
  <si>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</si>
  <si>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</si>
  <si>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</si>
  <si>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</si>
  <si>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</si>
  <si>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</si>
  <si>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</si>
  <si>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</si>
  <si>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</si>
  <si>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</si>
  <si>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</si>
  <si>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</si>
  <si>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</si>
  <si>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</si>
  <si>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</si>
  <si>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</si>
  <si>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</si>
  <si>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</si>
  <si>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</si>
  <si>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</si>
  <si>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</si>
  <si>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</si>
  <si>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</si>
  <si>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</si>
  <si>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</si>
  <si>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</si>
  <si>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</si>
  <si>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</si>
  <si>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</si>
  <si>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</si>
  <si>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</si>
  <si>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</si>
  <si>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</si>
  <si>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</si>
  <si>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</si>
  <si>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</si>
  <si>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</si>
  <si>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</si>
  <si>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</si>
  <si>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</si>
  <si>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</si>
  <si>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</si>
  <si>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</si>
  <si>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</si>
  <si>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</si>
  <si>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</si>
  <si>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</si>
  <si>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</si>
  <si>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</si>
  <si>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</si>
  <si>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</si>
  <si>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</si>
  <si>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</si>
  <si>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</si>
  <si>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</si>
  <si>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</si>
  <si>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</si>
  <si>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</si>
  <si>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</si>
  <si>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</si>
  <si>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</si>
  <si>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</si>
  <si>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</si>
  <si>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</si>
  <si>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</si>
  <si>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</si>
  <si>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</si>
  <si>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</si>
  <si>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</si>
  <si>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</si>
  <si>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</si>
  <si>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</si>
  <si>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</si>
  <si>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</si>
  <si>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</si>
  <si>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</si>
  <si>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</si>
  <si>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</si>
  <si>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</si>
  <si>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</si>
  <si>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</si>
  <si>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</si>
  <si>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</si>
  <si>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</si>
  <si>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</si>
  <si>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</si>
  <si>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</si>
  <si>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</si>
  <si>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</si>
  <si>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</si>
  <si>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</si>
  <si>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</si>
  <si>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</si>
  <si>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</si>
  <si>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</si>
  <si>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</si>
  <si>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</si>
  <si>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</si>
  <si>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</si>
  <si>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</si>
  <si>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</si>
  <si>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</si>
  <si>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</si>
  <si>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</si>
  <si>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</si>
  <si>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</si>
  <si>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</si>
  <si>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</si>
  <si>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</si>
  <si>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</si>
  <si>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</si>
  <si>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</si>
  <si>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</si>
  <si>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</si>
  <si>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</si>
  <si>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</si>
  <si>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</si>
  <si>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</si>
  <si>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</si>
  <si>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</si>
  <si>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</si>
  <si>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</si>
  <si>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</si>
  <si>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</si>
  <si>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</si>
  <si>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</si>
  <si>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</si>
  <si>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</si>
  <si>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</si>
  <si>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</si>
  <si>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</si>
  <si>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</si>
  <si>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</si>
  <si>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</si>
  <si>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</si>
  <si>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</si>
  <si>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</si>
  <si>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</si>
  <si>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</si>
  <si>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</si>
  <si>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</si>
  <si>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</si>
  <si>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</si>
  <si>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</si>
  <si>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</si>
  <si>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</si>
  <si>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</si>
  <si>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</si>
  <si>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</si>
  <si>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</si>
  <si>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</si>
  <si>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</si>
  <si>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</si>
  <si>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</si>
  <si>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</si>
  <si>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</si>
  <si>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</si>
  <si>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</si>
  <si>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</si>
  <si>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</si>
  <si>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</si>
  <si>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</si>
  <si>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</si>
  <si>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</si>
  <si>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</si>
  <si>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</si>
  <si>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</si>
  <si>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</si>
  <si>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</si>
  <si>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</si>
  <si>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</si>
  <si>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</si>
  <si>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</si>
  <si>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</si>
  <si>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</si>
  <si>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</si>
  <si>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</si>
  <si>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</si>
  <si>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</si>
  <si>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</si>
  <si>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</si>
  <si>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</si>
  <si>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</si>
  <si>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</si>
  <si>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</si>
  <si>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</si>
  <si>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</si>
  <si>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</si>
  <si>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</si>
  <si>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</si>
  <si>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</si>
  <si>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</si>
  <si>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</si>
  <si>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</si>
  <si>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</si>
  <si>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</si>
  <si>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</si>
  <si>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</si>
  <si>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</si>
  <si>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</si>
  <si>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</si>
  <si>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</si>
  <si>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</si>
  <si>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</si>
  <si>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</si>
  <si>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</si>
  <si>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</si>
  <si>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</si>
  <si>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</si>
  <si>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</si>
  <si>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</si>
  <si>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</si>
  <si>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</si>
  <si>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</si>
  <si>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</si>
  <si>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</si>
  <si>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</si>
  <si>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</si>
  <si>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</si>
  <si>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</si>
  <si>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</si>
  <si>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</si>
  <si>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</si>
  <si>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</si>
  <si>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</si>
  <si>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</si>
  <si>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</si>
  <si>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</si>
  <si>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</si>
  <si>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</si>
  <si>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</si>
  <si>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</si>
  <si>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</si>
  <si>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</si>
  <si>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</si>
  <si>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</si>
  <si>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</si>
  <si>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</si>
  <si>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</si>
  <si>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</si>
  <si>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</si>
  <si>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</si>
  <si>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</si>
  <si>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</si>
  <si>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</si>
  <si>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</si>
  <si>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</si>
  <si>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</si>
  <si>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</si>
  <si>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</si>
  <si>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</si>
  <si>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</si>
  <si>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</si>
  <si>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</si>
  <si>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</si>
  <si>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</si>
  <si>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</si>
  <si>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</si>
  <si>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</si>
  <si>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</si>
  <si>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</si>
  <si>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</si>
  <si>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</si>
  <si>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</si>
  <si>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</si>
  <si>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</si>
  <si>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</si>
  <si>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</si>
  <si>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</si>
  <si>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</si>
  <si>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</si>
  <si>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</si>
  <si>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</si>
  <si>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</si>
  <si>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</si>
  <si>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</si>
  <si>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</si>
  <si>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</si>
  <si>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</si>
  <si>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</si>
  <si>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</si>
  <si>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</si>
  <si>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</si>
  <si>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</si>
  <si>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</si>
  <si>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</si>
  <si>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</si>
  <si>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</si>
  <si>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</si>
  <si>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</si>
  <si>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</si>
  <si>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</si>
  <si>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</si>
  <si>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</si>
  <si>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</si>
  <si>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</si>
  <si>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</si>
  <si>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</si>
  <si>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</si>
  <si>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</si>
  <si>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</si>
  <si>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</si>
  <si>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</si>
  <si>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</si>
  <si>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</si>
  <si>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</si>
  <si>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</si>
  <si>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</si>
  <si>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</si>
  <si>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</si>
  <si>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</si>
  <si>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</si>
  <si>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</si>
  <si>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</si>
  <si>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</si>
  <si>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</si>
  <si>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</si>
  <si>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</si>
  <si>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</si>
  <si>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</si>
  <si>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</si>
  <si>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</si>
  <si>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</si>
  <si>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</si>
  <si>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</si>
  <si>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</si>
  <si>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</si>
  <si>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</si>
  <si>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</si>
  <si>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</si>
  <si>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</si>
  <si>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</si>
  <si>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</si>
  <si>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</si>
  <si>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</si>
  <si>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</si>
  <si>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</si>
  <si>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</si>
  <si>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</si>
  <si>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</si>
  <si>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</si>
  <si>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</si>
  <si>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</si>
  <si>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</si>
  <si>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</si>
  <si>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</si>
  <si>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</si>
  <si>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</si>
  <si>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</si>
  <si>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</si>
  <si>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</si>
  <si>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</si>
  <si>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</si>
  <si>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</si>
  <si>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</si>
  <si>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</si>
  <si>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</si>
  <si>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</si>
  <si>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</si>
  <si>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</si>
  <si>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</si>
  <si>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</si>
  <si>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</si>
  <si>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</si>
  <si>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</si>
  <si>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</si>
  <si>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</si>
  <si>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</si>
  <si>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</si>
  <si>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</si>
  <si>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</si>
  <si>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</si>
  <si>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</si>
  <si>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</si>
  <si>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</si>
  <si>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</si>
  <si>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</si>
  <si>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</si>
  <si>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</si>
  <si>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</si>
  <si>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</si>
  <si>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</si>
  <si>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</si>
  <si>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</si>
  <si>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</si>
  <si>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</si>
  <si>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</si>
  <si>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</si>
  <si>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</si>
  <si>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</si>
  <si>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</si>
  <si>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</si>
  <si>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</si>
  <si>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</si>
  <si>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</si>
  <si>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</si>
  <si>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</si>
  <si>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</si>
  <si>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</si>
  <si>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</si>
  <si>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</si>
  <si>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</si>
  <si>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</si>
  <si>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</si>
  <si>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</si>
  <si>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</si>
  <si>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</si>
  <si>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</si>
  <si>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</si>
  <si>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</si>
  <si>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</si>
  <si>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</si>
  <si>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</si>
  <si>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</si>
  <si>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</si>
  <si>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</si>
  <si>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</si>
  <si>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</si>
  <si>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</si>
  <si>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</si>
  <si>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</si>
  <si>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</si>
  <si>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</si>
  <si>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</si>
  <si>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</si>
  <si>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</si>
  <si>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</si>
  <si>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</si>
  <si>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</si>
  <si>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</si>
  <si>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</si>
  <si>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</si>
  <si>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</si>
  <si>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</si>
  <si>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</si>
  <si>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</si>
  <si>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</si>
  <si>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</si>
  <si>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</si>
  <si>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</si>
  <si>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</si>
  <si>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</si>
  <si>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</si>
  <si>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</si>
  <si>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</si>
  <si>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</si>
  <si>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</si>
  <si>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</si>
  <si>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</si>
  <si>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</si>
  <si>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</si>
  <si>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</si>
  <si>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</si>
  <si>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</si>
  <si>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</si>
  <si>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</si>
  <si>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</si>
  <si>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</si>
  <si>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</si>
  <si>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</si>
  <si>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</si>
  <si>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</si>
  <si>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</si>
  <si>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</si>
  <si>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</si>
  <si>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</si>
  <si>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</si>
  <si>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</si>
  <si>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</si>
  <si>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</si>
  <si>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</si>
  <si>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</si>
  <si>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</si>
  <si>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</si>
  <si>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</si>
  <si>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</si>
  <si>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</si>
  <si>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</si>
  <si>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</si>
  <si>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</si>
  <si>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</si>
  <si>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</si>
  <si>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</si>
  <si>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</si>
  <si>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</si>
  <si>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</si>
  <si>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</si>
  <si>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</si>
  <si>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</si>
  <si>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</si>
  <si>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</si>
  <si>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</si>
  <si>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</si>
  <si>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</si>
  <si>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</si>
  <si>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</si>
  <si>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</si>
  <si>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</si>
  <si>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</si>
  <si>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</si>
  <si>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</si>
  <si>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</si>
  <si>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</si>
  <si>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</si>
  <si>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</si>
  <si>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</si>
  <si>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</si>
  <si>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</si>
  <si>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</si>
  <si>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</si>
  <si>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</si>
  <si>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</si>
  <si>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</si>
  <si>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</si>
  <si>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</si>
  <si>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</si>
  <si>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</si>
  <si>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</si>
  <si>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</si>
  <si>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</si>
  <si>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</si>
  <si>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</si>
  <si>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</si>
  <si>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</si>
  <si>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</si>
  <si>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</si>
  <si>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</si>
  <si>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</si>
  <si>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</si>
  <si>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</si>
  <si>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</si>
  <si>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</si>
  <si>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</si>
  <si>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</si>
  <si>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</si>
  <si>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</si>
  <si>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</si>
  <si>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</si>
  <si>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</si>
  <si>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</si>
  <si>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</si>
  <si>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</si>
  <si>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</si>
  <si>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</si>
  <si>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</si>
  <si>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</si>
  <si>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</si>
  <si>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</si>
  <si>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</si>
  <si>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</si>
  <si>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</si>
  <si>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</si>
  <si>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</si>
  <si>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</si>
  <si>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</si>
  <si>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</si>
  <si>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</si>
  <si>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</si>
  <si>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</si>
  <si>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</si>
  <si>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</si>
  <si>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</si>
  <si>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</si>
  <si>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</si>
  <si>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</si>
  <si>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</si>
  <si>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</si>
  <si>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</si>
  <si>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</si>
  <si>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</si>
  <si>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</si>
  <si>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</si>
  <si>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</si>
  <si>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</si>
  <si>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</si>
  <si>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</si>
  <si>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</si>
  <si>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</si>
  <si>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</si>
  <si>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</si>
  <si>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</si>
  <si>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</si>
  <si>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</si>
  <si>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</si>
  <si>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</si>
  <si>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</si>
  <si>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</si>
  <si>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</si>
  <si>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</si>
  <si>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</si>
  <si>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</si>
  <si>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</si>
  <si>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</si>
  <si>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</si>
  <si>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</si>
  <si>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</si>
  <si>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</si>
  <si>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</si>
  <si>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</si>
  <si>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</si>
  <si>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</si>
  <si>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</si>
  <si>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</si>
  <si>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</si>
  <si>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</si>
  <si>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</si>
  <si>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</si>
  <si>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</si>
  <si>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</si>
  <si>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</si>
  <si>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</si>
  <si>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</si>
  <si>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</si>
  <si>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</si>
  <si>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</si>
  <si>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</si>
  <si>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</si>
  <si>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</si>
  <si>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</si>
  <si>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</si>
  <si>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</si>
  <si>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</si>
  <si>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</si>
  <si>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</si>
  <si>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</si>
  <si>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</si>
  <si>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</si>
  <si>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</si>
  <si>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</si>
  <si>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</si>
  <si>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</si>
  <si>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</si>
  <si>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</si>
  <si>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</si>
  <si>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</si>
  <si>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</si>
  <si>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</si>
  <si>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</si>
  <si>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</si>
  <si>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</si>
  <si>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</si>
  <si>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</si>
  <si>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</si>
  <si>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</si>
  <si>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</si>
  <si>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</si>
  <si>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</si>
  <si>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</si>
  <si>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</si>
  <si>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</si>
  <si>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</si>
  <si>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</si>
  <si>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</si>
  <si>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</si>
  <si>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</si>
  <si>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</si>
  <si>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</si>
  <si>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</si>
  <si>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</si>
  <si>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</si>
  <si>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</si>
  <si>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</si>
  <si>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</si>
  <si>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</si>
  <si>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</si>
  <si>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</si>
  <si>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</si>
  <si>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</si>
  <si>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</si>
  <si>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</si>
  <si>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</si>
  <si>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</si>
  <si>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</si>
  <si>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</si>
  <si>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</si>
  <si>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</si>
  <si>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</si>
  <si>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</si>
  <si>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</si>
  <si>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</si>
  <si>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</si>
  <si>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</si>
  <si>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</si>
  <si>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</si>
  <si>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</si>
  <si>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</si>
  <si>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</si>
  <si>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</si>
  <si>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</si>
  <si>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</si>
  <si>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</si>
  <si>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</si>
  <si>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</si>
  <si>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</si>
  <si>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</si>
  <si>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</si>
  <si>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</si>
  <si>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</si>
  <si>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</si>
  <si>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</si>
  <si>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</si>
  <si>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</si>
  <si>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</si>
  <si>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</si>
  <si>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</si>
  <si>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</si>
  <si>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</si>
  <si>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</si>
  <si>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</si>
  <si>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</si>
  <si>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</si>
  <si>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</si>
  <si>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</si>
  <si>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</si>
  <si>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</si>
  <si>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</si>
  <si>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</si>
  <si>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</si>
  <si>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</si>
  <si>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</si>
  <si>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</si>
  <si>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</si>
  <si>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</si>
  <si>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</si>
  <si>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</si>
  <si>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</si>
  <si>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</si>
  <si>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</si>
  <si>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</si>
  <si>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</si>
  <si>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</si>
  <si>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</si>
  <si>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</si>
  <si>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</si>
  <si>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</si>
  <si>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</si>
  <si>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</si>
  <si>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</si>
  <si>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</si>
  <si>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</si>
  <si>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</si>
  <si>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</si>
  <si>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</si>
  <si>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</si>
  <si>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</si>
  <si>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</si>
  <si>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</si>
  <si>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</si>
  <si>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</si>
  <si>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</si>
  <si>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</si>
  <si>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</si>
  <si>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</si>
  <si>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</si>
  <si>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</si>
  <si>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</si>
  <si>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</si>
  <si>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</si>
  <si>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</si>
  <si>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</si>
  <si>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</si>
  <si>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</si>
  <si>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</si>
  <si>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</si>
  <si>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</si>
  <si>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</si>
  <si>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</si>
  <si>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</si>
  <si>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</si>
  <si>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</si>
  <si>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</si>
  <si>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</si>
  <si>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</si>
  <si>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</si>
  <si>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</si>
  <si>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</si>
  <si>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</si>
  <si>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</si>
  <si>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</si>
  <si>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</si>
  <si>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</si>
  <si>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</si>
  <si>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</si>
  <si>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</si>
  <si>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</si>
  <si>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</si>
  <si>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</si>
  <si>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</si>
  <si>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</si>
  <si>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</si>
  <si>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</si>
  <si>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</si>
  <si>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</si>
  <si>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</si>
  <si>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</si>
  <si>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</si>
  <si>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</si>
  <si>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</si>
  <si>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</si>
  <si>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</si>
  <si>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</si>
  <si>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</si>
  <si>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</si>
  <si>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</si>
  <si>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</si>
  <si>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</si>
  <si>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</si>
  <si>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</si>
  <si>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</si>
  <si>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</si>
  <si>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</si>
  <si>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</si>
  <si>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</si>
  <si>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</si>
  <si>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</si>
  <si>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</si>
  <si>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</si>
  <si>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</si>
  <si>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</si>
  <si>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</si>
  <si>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</si>
  <si>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</si>
  <si>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</si>
  <si>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</si>
  <si>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</si>
  <si>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</si>
  <si>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</si>
  <si>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</si>
  <si>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</si>
  <si>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</si>
  <si>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</si>
  <si>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</si>
  <si>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</si>
  <si>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</si>
  <si>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</si>
  <si>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</si>
  <si>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</si>
  <si>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</si>
  <si>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</si>
  <si>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</si>
  <si>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</si>
  <si>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</si>
  <si>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</si>
  <si>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</si>
  <si>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</si>
  <si>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</si>
  <si>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</si>
  <si>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</si>
  <si>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</si>
  <si>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</si>
  <si>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</si>
  <si>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</si>
  <si>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</si>
  <si>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</si>
  <si>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</si>
  <si>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</si>
  <si>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</si>
  <si>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</si>
  <si>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</si>
  <si>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</si>
  <si>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</si>
  <si>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</si>
  <si>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</si>
  <si>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</si>
  <si>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</si>
  <si>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</si>
  <si>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</si>
  <si>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</si>
  <si>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</si>
  <si>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</si>
  <si>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</si>
  <si>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</si>
  <si>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</si>
  <si>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</si>
  <si>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</si>
  <si>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</si>
  <si>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</si>
  <si>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</si>
  <si>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</si>
  <si>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</si>
  <si>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</si>
  <si>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</si>
  <si>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</si>
  <si>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</si>
  <si>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</si>
  <si>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</si>
  <si>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</si>
  <si>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</si>
  <si>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</si>
  <si>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</si>
  <si>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</si>
  <si>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</si>
  <si>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</si>
  <si>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</si>
  <si>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</si>
  <si>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</si>
  <si>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</si>
  <si>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</si>
  <si>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</si>
  <si>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</si>
  <si>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</si>
  <si>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</si>
  <si>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</si>
  <si>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</si>
  <si>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</si>
  <si>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</si>
  <si>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</si>
  <si>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</si>
  <si>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</si>
  <si>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</si>
  <si>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</si>
  <si>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</si>
  <si>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</si>
  <si>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</si>
  <si>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</si>
  <si>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</si>
  <si>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</si>
  <si>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</si>
  <si>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</si>
  <si>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</si>
  <si>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</si>
  <si>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</si>
  <si>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</si>
  <si>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</si>
  <si>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</si>
  <si>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</si>
  <si>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</si>
  <si>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</si>
  <si>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</si>
  <si>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</si>
  <si>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</si>
  <si>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</si>
  <si>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</si>
  <si>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</si>
  <si>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</si>
  <si>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</si>
  <si>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</si>
  <si>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</si>
  <si>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</si>
  <si>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</si>
  <si>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</si>
  <si>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</si>
  <si>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</si>
  <si>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</si>
  <si>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</si>
  <si>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</si>
  <si>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</si>
  <si>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</si>
  <si>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</si>
  <si>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</si>
  <si>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</si>
  <si>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</si>
  <si>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</si>
  <si>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</si>
  <si>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</si>
  <si>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</si>
  <si>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</si>
  <si>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</si>
  <si>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</si>
  <si>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</si>
  <si>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</si>
  <si>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</si>
  <si>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</si>
  <si>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</si>
  <si>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</si>
  <si>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</si>
  <si>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</si>
  <si>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</si>
  <si>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</si>
  <si>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</si>
  <si>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</si>
  <si>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</si>
  <si>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</si>
  <si>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</si>
  <si>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</si>
  <si>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</si>
  <si>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</si>
  <si>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</si>
  <si>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</si>
  <si>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</si>
  <si>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</si>
  <si>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</si>
  <si>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</si>
  <si>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</si>
  <si>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</si>
  <si>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</si>
  <si>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</si>
  <si>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</si>
  <si>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</si>
  <si>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</si>
  <si>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</si>
  <si>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</si>
  <si>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</si>
  <si>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</si>
  <si>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</si>
  <si>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</si>
  <si>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</si>
  <si>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</si>
  <si>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</si>
  <si>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</si>
  <si>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</si>
  <si>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</si>
  <si>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</si>
  <si>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</si>
  <si>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</si>
  <si>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</si>
  <si>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</si>
  <si>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</si>
  <si>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</si>
  <si>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</si>
  <si>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</si>
  <si>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</si>
  <si>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</si>
  <si>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</si>
  <si>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</si>
  <si>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</si>
  <si>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</si>
  <si>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</si>
  <si>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</si>
  <si>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</si>
  <si>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</si>
  <si>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</si>
  <si>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</si>
  <si>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</si>
  <si>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</si>
  <si>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</si>
  <si>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</si>
  <si>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</si>
  <si>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</si>
  <si>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</si>
  <si>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</si>
  <si>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</si>
  <si>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</si>
  <si>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</si>
  <si>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</si>
  <si>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</si>
  <si>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</si>
  <si>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</si>
  <si>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</si>
  <si>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</si>
  <si>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</si>
  <si>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</si>
  <si>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</si>
  <si>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</si>
  <si>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</si>
  <si>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</si>
  <si>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</si>
  <si>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</si>
  <si>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</si>
  <si>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</si>
  <si>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</si>
  <si>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</si>
  <si>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</si>
  <si>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</si>
  <si>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</si>
  <si>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</si>
  <si>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</si>
  <si>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</si>
  <si>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</si>
  <si>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</si>
  <si>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</si>
  <si>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</si>
  <si>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</si>
  <si>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</si>
  <si>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</si>
  <si>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</si>
  <si>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</si>
  <si>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</si>
  <si>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</si>
  <si>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</si>
  <si>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</si>
  <si>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</si>
  <si>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</si>
  <si>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</si>
  <si>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</si>
  <si>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</si>
  <si>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</si>
  <si>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</si>
  <si>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</si>
  <si>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</si>
  <si>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</si>
  <si>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</si>
  <si>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</si>
  <si>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</si>
  <si>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</si>
  <si>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</si>
  <si>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</si>
  <si>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</si>
  <si>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</si>
  <si>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</si>
  <si>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</si>
  <si>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</si>
  <si>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</si>
  <si>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</si>
  <si>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</si>
  <si>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</si>
  <si>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</si>
  <si>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</si>
  <si>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</si>
  <si>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</si>
  <si>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</si>
  <si>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</si>
  <si>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</si>
  <si>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</si>
  <si>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</si>
  <si>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</si>
  <si>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</si>
  <si>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</si>
  <si>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</si>
  <si>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</si>
  <si>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</si>
  <si>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</si>
  <si>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</si>
  <si>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</si>
  <si>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</si>
  <si>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</si>
  <si>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</si>
  <si>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</si>
  <si>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</si>
  <si>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</si>
  <si>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</si>
  <si>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</si>
  <si>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</si>
  <si>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</si>
  <si>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</si>
  <si>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</si>
  <si>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</si>
  <si>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</si>
  <si>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</si>
  <si>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</si>
  <si>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</si>
  <si>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</si>
  <si>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</si>
  <si>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</si>
  <si>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</si>
  <si>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</si>
  <si>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</si>
  <si>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</si>
  <si>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</si>
  <si>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</si>
  <si>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</si>
  <si>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</si>
  <si>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</si>
  <si>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</si>
  <si>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</si>
  <si>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</si>
  <si>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</si>
  <si>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</si>
  <si>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</si>
  <si>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</si>
  <si>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</si>
  <si>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</si>
  <si>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</si>
  <si>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</si>
  <si>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</si>
  <si>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</si>
  <si>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</si>
  <si>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</si>
  <si>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</si>
  <si>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</si>
  <si>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</si>
  <si>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</si>
  <si>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</si>
  <si>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</si>
  <si>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</si>
  <si>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</si>
  <si>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</si>
  <si>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</si>
  <si>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</si>
  <si>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</si>
  <si>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</si>
  <si>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</si>
  <si>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</si>
  <si>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</si>
  <si>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</si>
  <si>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</si>
  <si>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</si>
  <si>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</si>
  <si>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</si>
  <si>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</si>
  <si>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</si>
  <si>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</si>
  <si>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</si>
  <si>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</si>
  <si>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</si>
  <si>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</si>
  <si>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</si>
  <si>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</si>
  <si>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</si>
  <si>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</si>
  <si>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</si>
  <si>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</si>
  <si>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</si>
  <si>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</si>
  <si>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</si>
  <si>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</si>
  <si>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</si>
  <si>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</si>
  <si>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</si>
  <si>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</si>
  <si>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</si>
  <si>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</si>
  <si>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</si>
  <si>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</si>
  <si>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</si>
  <si>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</si>
  <si>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</si>
  <si>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</si>
  <si>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</si>
  <si>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</si>
  <si>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</si>
  <si>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</si>
  <si>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</si>
  <si>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</si>
  <si>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</si>
  <si>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</si>
  <si>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</si>
  <si>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</si>
  <si>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</si>
  <si>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</si>
  <si>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</si>
  <si>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</si>
  <si>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</si>
  <si>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</si>
  <si>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</si>
  <si>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</si>
  <si>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</si>
  <si>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</si>
  <si>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</si>
  <si>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</si>
  <si>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</si>
  <si>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</si>
  <si>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</si>
  <si>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</si>
  <si>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</si>
  <si>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</si>
  <si>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</si>
  <si>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</si>
  <si>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</si>
  <si>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</si>
  <si>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</si>
  <si>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</si>
  <si>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</si>
  <si>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</si>
  <si>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</si>
  <si>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</si>
  <si>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</si>
  <si>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</si>
  <si>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</si>
  <si>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</si>
  <si>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</si>
  <si>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</si>
  <si>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</si>
  <si>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</si>
  <si>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</si>
  <si>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</si>
  <si>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</si>
  <si>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</si>
  <si>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</si>
  <si>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</si>
  <si>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</si>
  <si>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</si>
  <si>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</si>
  <si>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</si>
  <si>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</si>
  <si>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</si>
  <si>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</si>
  <si>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</si>
  <si>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</si>
  <si>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</si>
  <si>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</si>
  <si>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</si>
  <si>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</si>
  <si>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</si>
  <si>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</si>
  <si>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</si>
  <si>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</si>
  <si>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</si>
  <si>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</si>
  <si>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</si>
  <si>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</si>
  <si>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</si>
  <si>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</si>
  <si>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</si>
  <si>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</si>
  <si>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</si>
  <si>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</si>
  <si>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</si>
  <si>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</si>
  <si>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</si>
  <si>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</si>
  <si>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</si>
  <si>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</si>
  <si>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</si>
  <si>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</si>
  <si>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</si>
  <si>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</si>
  <si>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</si>
  <si>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</si>
  <si>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</si>
  <si>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</si>
  <si>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</si>
  <si>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</si>
  <si>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</si>
  <si>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</si>
  <si>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</si>
  <si>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</si>
  <si>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</si>
  <si>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</si>
  <si>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</si>
  <si>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</si>
  <si>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</si>
  <si>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</si>
  <si>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</si>
  <si>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</si>
  <si>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</si>
  <si>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</si>
  <si>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</si>
  <si>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</si>
  <si>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</si>
  <si>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</si>
  <si>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</si>
  <si>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</si>
  <si>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</si>
  <si>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</si>
  <si>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</si>
  <si>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</si>
  <si>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</si>
  <si>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</si>
  <si>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</si>
  <si>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</si>
  <si>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</si>
  <si>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</si>
  <si>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</si>
  <si>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</si>
  <si>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</si>
  <si>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</si>
  <si>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</si>
  <si>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</si>
  <si>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</si>
  <si>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</si>
  <si>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</si>
  <si>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</si>
  <si>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</si>
  <si>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</si>
  <si>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</si>
  <si>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</si>
  <si>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</si>
  <si>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</si>
  <si>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</si>
  <si>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</si>
  <si>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</si>
  <si>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</si>
  <si>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</si>
  <si>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</si>
  <si>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</si>
  <si>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</si>
  <si>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</si>
  <si>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</si>
  <si>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</si>
  <si>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</si>
  <si>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</si>
  <si>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</si>
  <si>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</si>
  <si>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</si>
  <si>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</si>
  <si>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</si>
  <si>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</si>
  <si>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</si>
  <si>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</si>
  <si>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</si>
  <si>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</si>
  <si>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</si>
  <si>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</si>
  <si>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</si>
  <si>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</si>
  <si>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</si>
  <si>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</si>
  <si>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</si>
  <si>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</si>
  <si>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</si>
  <si>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</si>
  <si>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</si>
  <si>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</si>
  <si>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</si>
  <si>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</si>
  <si>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</si>
  <si>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</si>
  <si>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</si>
  <si>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</si>
  <si>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</si>
  <si>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</si>
  <si>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</si>
  <si>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</si>
  <si>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</si>
  <si>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</si>
  <si>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</si>
  <si>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</si>
  <si>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</si>
  <si>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</si>
  <si>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</si>
  <si>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</si>
  <si>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</si>
  <si>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</si>
  <si>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</si>
  <si>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</si>
  <si>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</si>
  <si>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</si>
  <si>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</si>
  <si>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</si>
  <si>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</si>
  <si>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</si>
  <si>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</si>
  <si>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</si>
  <si>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</si>
  <si>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</si>
  <si>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</si>
  <si>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</si>
  <si>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</si>
  <si>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</si>
  <si>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</si>
  <si>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</si>
  <si>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</si>
  <si>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</si>
  <si>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</si>
  <si>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</si>
  <si>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</si>
  <si>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</si>
  <si>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</si>
  <si>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</si>
  <si>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</si>
  <si>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</si>
  <si>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</si>
  <si>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</si>
  <si>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</si>
  <si>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</si>
  <si>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</si>
  <si>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</si>
  <si>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</si>
  <si>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</si>
  <si>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</si>
  <si>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</si>
  <si>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</si>
  <si>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</si>
  <si>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</si>
  <si>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</si>
  <si>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</si>
  <si>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</si>
  <si>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</si>
  <si>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</si>
  <si>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</si>
  <si>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</si>
  <si>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</si>
  <si>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</si>
  <si>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</si>
  <si>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</si>
  <si>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</si>
  <si>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</si>
  <si>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</si>
  <si>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</si>
  <si>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</si>
  <si>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</si>
  <si>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</si>
  <si>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</si>
  <si>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</si>
  <si>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</si>
  <si>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</si>
  <si>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</si>
  <si>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</si>
  <si>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</si>
  <si>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</si>
  <si>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</si>
  <si>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</si>
  <si>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</si>
  <si>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</si>
  <si>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</si>
  <si>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</si>
  <si>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</si>
  <si>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</si>
  <si>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</si>
  <si>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</si>
  <si>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</si>
  <si>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</si>
  <si>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</si>
  <si>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</si>
  <si>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</si>
  <si>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</si>
  <si>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</si>
  <si>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</si>
  <si>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</si>
  <si>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</si>
  <si>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</si>
  <si>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</si>
  <si>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</si>
  <si>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</si>
  <si>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</si>
  <si>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</si>
  <si>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</si>
  <si>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</si>
  <si>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</si>
  <si>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</si>
  <si>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</si>
  <si>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</si>
  <si>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</si>
  <si>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</si>
  <si>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</si>
  <si>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</si>
  <si>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</si>
  <si>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</si>
  <si>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</si>
  <si>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</si>
  <si>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</si>
  <si>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</si>
  <si>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</si>
  <si>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</si>
  <si>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</si>
  <si>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</si>
  <si>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</si>
  <si>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</si>
  <si>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</si>
  <si>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</si>
  <si>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</si>
  <si>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</si>
  <si>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</si>
  <si>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</si>
  <si>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</si>
  <si>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</si>
  <si>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</si>
  <si>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</si>
  <si>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</si>
  <si>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</si>
  <si>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</si>
  <si>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</si>
  <si>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</si>
  <si>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</si>
  <si>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</si>
  <si>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</si>
  <si>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</si>
  <si>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</si>
  <si>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</si>
  <si>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</si>
  <si>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</si>
  <si>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</si>
  <si>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</si>
  <si>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</si>
  <si>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</si>
  <si>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</si>
  <si>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</si>
  <si>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</si>
  <si>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</si>
  <si>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</si>
  <si>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</si>
  <si>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</si>
  <si>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</si>
  <si>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</si>
  <si>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</si>
  <si>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</si>
  <si>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</si>
  <si>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</si>
  <si>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</si>
  <si>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</si>
  <si>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</si>
  <si>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</si>
  <si>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</si>
  <si>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</si>
  <si>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</si>
  <si>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</si>
  <si>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</si>
  <si>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</si>
  <si>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</si>
  <si>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</si>
  <si>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</si>
  <si>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</si>
  <si>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</si>
  <si>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</si>
  <si>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</si>
  <si>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</si>
  <si>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</si>
  <si>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</si>
  <si>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</si>
  <si>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</si>
  <si>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</si>
  <si>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</si>
  <si>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</si>
  <si>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</si>
  <si>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</si>
  <si>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</si>
  <si>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</si>
  <si>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</si>
  <si>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</si>
  <si>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</si>
  <si>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</si>
  <si>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</si>
  <si>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</si>
  <si>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</si>
  <si>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</si>
  <si>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</si>
  <si>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</si>
  <si>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</si>
  <si>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</si>
  <si>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</si>
  <si>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</si>
  <si>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</si>
  <si>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</si>
  <si>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</si>
  <si>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</si>
  <si>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</si>
  <si>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</si>
  <si>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</si>
  <si>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</si>
  <si>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</si>
  <si>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</si>
  <si>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</si>
  <si>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</si>
  <si>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</si>
  <si>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</si>
  <si>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</si>
  <si>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</si>
  <si>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</si>
  <si>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</si>
  <si>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</si>
  <si>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</si>
  <si>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</si>
  <si>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</si>
  <si>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</si>
  <si>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</si>
  <si>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</si>
  <si>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</si>
  <si>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</si>
  <si>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</si>
  <si>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</si>
  <si>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</si>
  <si>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</si>
  <si>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</si>
  <si>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</si>
  <si>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</si>
  <si>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</si>
  <si>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</si>
  <si>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</si>
  <si>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</si>
  <si>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</si>
  <si>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</si>
  <si>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</si>
  <si>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</si>
  <si>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</si>
  <si>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</si>
  <si>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</si>
  <si>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</si>
  <si>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</si>
  <si>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</si>
  <si>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</si>
  <si>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</si>
  <si>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</si>
  <si>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</si>
  <si>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</si>
  <si>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</si>
  <si>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</si>
  <si>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</si>
  <si>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</si>
  <si>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</si>
  <si>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</si>
  <si>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</si>
  <si>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</si>
  <si>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</si>
  <si>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</si>
  <si>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</si>
  <si>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</si>
  <si>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</si>
  <si>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</si>
  <si>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</si>
  <si>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</si>
  <si>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</si>
  <si>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</si>
  <si>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</si>
  <si>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</si>
  <si>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</si>
  <si>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</si>
  <si>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</si>
  <si>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</si>
  <si>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</si>
  <si>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</si>
  <si>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</si>
  <si>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</si>
  <si>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</si>
  <si>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</si>
  <si>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</si>
  <si>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</si>
  <si>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</si>
  <si>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</si>
  <si>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</si>
  <si>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</si>
  <si>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</si>
  <si>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</si>
  <si>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</si>
  <si>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</si>
  <si>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</si>
  <si>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</si>
  <si>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</si>
  <si>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</si>
  <si>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</si>
  <si>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</si>
  <si>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</si>
  <si>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</si>
  <si>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</si>
  <si>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</si>
  <si>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</si>
  <si>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</si>
  <si>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</si>
  <si>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</si>
  <si>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</si>
  <si>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</si>
  <si>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</si>
  <si>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</si>
  <si>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</si>
  <si>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</si>
  <si>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</si>
  <si>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</si>
  <si>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</si>
  <si>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</si>
  <si>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</si>
  <si>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</si>
  <si>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</si>
  <si>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</si>
  <si>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</si>
  <si>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</si>
  <si>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</si>
  <si>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</si>
  <si>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</si>
  <si>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</si>
  <si>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</si>
  <si>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</si>
  <si>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</si>
  <si>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</si>
  <si>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</si>
  <si>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</si>
  <si>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</si>
  <si>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</si>
  <si>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</si>
  <si>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</si>
  <si>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</si>
  <si>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</si>
  <si>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</si>
  <si>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</si>
  <si>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</si>
  <si>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</si>
  <si>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</si>
  <si>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</si>
  <si>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</si>
  <si>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</si>
  <si>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</si>
  <si>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</si>
  <si>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</si>
  <si>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</si>
  <si>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</si>
  <si>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</si>
  <si>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</si>
  <si>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</si>
  <si>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</si>
  <si>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</si>
  <si>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</si>
  <si>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</si>
  <si>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</si>
  <si>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</si>
  <si>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</si>
  <si>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</si>
  <si>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</si>
  <si>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</si>
  <si>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</si>
  <si>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</si>
  <si>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</si>
  <si>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</si>
  <si>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</si>
  <si>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</si>
  <si>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</si>
  <si>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</si>
  <si>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</si>
  <si>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</si>
  <si>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</si>
  <si>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</si>
  <si>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</si>
  <si>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</si>
  <si>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</si>
  <si>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</si>
  <si>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</si>
  <si>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</si>
  <si>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</si>
  <si>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</si>
  <si>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</si>
  <si>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</si>
  <si>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</si>
  <si>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</si>
  <si>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</si>
  <si>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</si>
  <si>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</si>
  <si>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</si>
  <si>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</si>
  <si>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</si>
  <si>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</si>
  <si>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</si>
  <si>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</si>
  <si>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</si>
  <si>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</si>
  <si>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</si>
  <si>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</si>
  <si>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</si>
  <si>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</si>
  <si>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</si>
  <si>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</si>
  <si>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</si>
  <si>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</si>
  <si>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</si>
  <si>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</si>
  <si>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</si>
  <si>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</si>
  <si>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</si>
  <si>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</si>
  <si>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</si>
  <si>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</si>
  <si>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</si>
  <si>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</si>
  <si>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</si>
  <si>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</si>
  <si>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</si>
  <si>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</si>
  <si>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</si>
  <si>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</si>
  <si>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</si>
  <si>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</si>
  <si>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</si>
  <si>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</si>
  <si>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</si>
  <si>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</si>
  <si>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</si>
  <si>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</si>
  <si>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</si>
  <si>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</si>
  <si>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</si>
  <si>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</si>
  <si>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</si>
  <si>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</si>
  <si>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</si>
  <si>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</si>
  <si>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</si>
  <si>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</si>
  <si>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</si>
  <si>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</si>
  <si>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</si>
  <si>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</si>
  <si>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</si>
  <si>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</si>
  <si>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</si>
  <si>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</si>
  <si>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</si>
  <si>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</si>
  <si>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</si>
  <si>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</si>
  <si>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</si>
  <si>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</si>
  <si>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</si>
  <si>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</si>
  <si>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</si>
  <si>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</si>
  <si>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</si>
  <si>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</si>
  <si>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</si>
  <si>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</si>
  <si>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</si>
  <si>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</si>
  <si>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</si>
  <si>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</si>
  <si>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</si>
  <si>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</si>
  <si>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</si>
  <si>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</si>
  <si>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</si>
  <si>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</si>
  <si>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</si>
  <si>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</si>
  <si>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</si>
  <si>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</si>
  <si>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</si>
  <si>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</si>
  <si>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</si>
  <si>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</si>
  <si>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</si>
  <si>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</si>
  <si>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</si>
  <si>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</si>
  <si>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</si>
  <si>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</si>
  <si>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</si>
  <si>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</si>
  <si>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</si>
  <si>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</si>
  <si>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</si>
  <si>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</si>
  <si>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</si>
  <si>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</si>
  <si>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</si>
  <si>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</si>
  <si>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</si>
  <si>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</si>
  <si>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</si>
  <si>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</si>
  <si>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</si>
  <si>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</si>
  <si>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</si>
  <si>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</si>
  <si>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</si>
  <si>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</si>
  <si>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</si>
  <si>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</si>
  <si>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</si>
  <si>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</si>
  <si>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</si>
  <si>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</si>
  <si>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</si>
  <si>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</si>
  <si>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</si>
  <si>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</si>
  <si>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</si>
  <si>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</si>
  <si>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</si>
  <si>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</si>
  <si>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</si>
  <si>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</si>
  <si>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</si>
  <si>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</si>
  <si>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</si>
  <si>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</si>
  <si>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</si>
  <si>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</si>
  <si>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</si>
  <si>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</si>
  <si>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</si>
  <si>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</si>
  <si>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</si>
  <si>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</si>
  <si>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</si>
  <si>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</si>
  <si>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</si>
  <si>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</si>
  <si>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</si>
  <si>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</si>
  <si>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</si>
  <si>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</si>
  <si>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</si>
  <si>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</si>
  <si>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</si>
  <si>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</si>
  <si>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</si>
  <si>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</si>
  <si>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</si>
  <si>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</si>
  <si>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</si>
  <si>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</si>
  <si>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</si>
  <si>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</si>
  <si>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</si>
  <si>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</si>
  <si>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</si>
  <si>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</si>
  <si>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</si>
  <si>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</si>
  <si>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</si>
  <si>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</si>
  <si>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</si>
  <si>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</si>
  <si>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</si>
  <si>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</si>
  <si>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</si>
  <si>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</si>
  <si>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</si>
  <si>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</si>
  <si>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</si>
  <si>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</si>
  <si>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</si>
  <si>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</si>
  <si>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</si>
  <si>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</si>
  <si>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</si>
  <si>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</si>
  <si>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</si>
  <si>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</si>
  <si>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</si>
  <si>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</si>
  <si>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</si>
  <si>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</si>
  <si>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</si>
  <si>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</si>
  <si>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</si>
  <si>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</si>
  <si>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</si>
  <si>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</si>
  <si>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</si>
  <si>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</si>
  <si>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</si>
  <si>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</si>
  <si>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</si>
  <si>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</si>
  <si>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</si>
  <si>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</si>
  <si>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</si>
  <si>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</si>
  <si>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</si>
  <si>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</si>
  <si>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</si>
  <si>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</si>
  <si>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</si>
  <si>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</si>
  <si>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</si>
  <si>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</si>
  <si>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</si>
  <si>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</si>
  <si>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</si>
  <si>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</si>
  <si>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</si>
  <si>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</si>
  <si>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</si>
  <si>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</si>
  <si>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</si>
  <si>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</si>
  <si>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</si>
  <si>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</si>
  <si>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</si>
  <si>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</si>
  <si>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</si>
  <si>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</si>
  <si>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</si>
  <si>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</si>
  <si>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</si>
  <si>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</si>
  <si>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</si>
  <si>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</si>
  <si>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</si>
  <si>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</si>
  <si>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</si>
  <si>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</si>
  <si>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</si>
  <si>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</si>
  <si>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</si>
  <si>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</si>
  <si>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</si>
  <si>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</si>
  <si>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</si>
  <si>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</si>
  <si>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</si>
  <si>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</si>
  <si>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</si>
  <si>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</si>
  <si>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</si>
  <si>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</si>
  <si>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</si>
  <si>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</si>
  <si>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</si>
  <si>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</si>
  <si>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</si>
  <si>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</si>
  <si>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</si>
  <si>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</si>
  <si>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</si>
  <si>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</si>
  <si>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</si>
  <si>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</si>
  <si>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</si>
  <si>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</si>
  <si>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</si>
  <si>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</si>
  <si>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</si>
  <si>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</si>
  <si>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</si>
  <si>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</si>
  <si>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</si>
  <si>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</si>
  <si>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</si>
  <si>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</si>
  <si>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</si>
  <si>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</si>
  <si>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</si>
  <si>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</si>
  <si>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</si>
  <si>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</si>
  <si>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</si>
  <si>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</si>
  <si>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</si>
  <si>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</si>
  <si>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</si>
  <si>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</si>
  <si>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</si>
  <si>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</si>
  <si>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</si>
  <si>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</si>
  <si>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</si>
  <si>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</si>
  <si>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📊 ORDER DATA ANALYSIS SUMMARY</t>
  </si>
  <si>
    <t>KEY METRICS</t>
  </si>
  <si>
    <t>Total Orders</t>
  </si>
  <si>
    <t>Total Revenue</t>
  </si>
  <si>
    <t>Avg Order Value</t>
  </si>
  <si>
    <t>Median Order Value</t>
  </si>
  <si>
    <t>Avg Quantity/Order</t>
  </si>
  <si>
    <t>Avg Unit Price</t>
  </si>
  <si>
    <t>Unique Customers</t>
  </si>
  <si>
    <t>Products Offered</t>
  </si>
  <si>
    <t>Date Range Start</t>
  </si>
  <si>
    <t>Date Range End</t>
  </si>
  <si>
    <t>PRODUCT ANALYSIS</t>
  </si>
  <si>
    <t>Orders</t>
  </si>
  <si>
    <t>Total Qty</t>
  </si>
  <si>
    <t>Revenue</t>
  </si>
  <si>
    <t>Avg Value</t>
  </si>
  <si>
    <t>Qty</t>
  </si>
  <si>
    <t>YEARLY TRENDS</t>
  </si>
  <si>
    <t>Year</t>
  </si>
  <si>
    <t>ORDER STATUS</t>
  </si>
  <si>
    <t>Status</t>
  </si>
  <si>
    <t>Count</t>
  </si>
  <si>
    <t>PAYMENT METHODS</t>
  </si>
  <si>
    <t>Method</t>
  </si>
  <si>
    <t>REFERRAL SOURCES</t>
  </si>
  <si>
    <t>Source</t>
  </si>
  <si>
    <t>📋 KEY OBSERVATIONS</t>
  </si>
  <si>
    <t>• TREND: Revenue declining YoY - 2023 ($553K) → 2024 ($480K) → 2025 ($232K YTD)</t>
  </si>
  <si>
    <t>• CONCERN: 41% of orders are Cancelled (250) or Returned (247) - needs investigation</t>
  </si>
  <si>
    <t>• DISTRIBUTION: Products evenly spread; Printer leads (181), Phone trails (156)</t>
  </si>
  <si>
    <t>• INSIGHT: 99% unique customers (1,189/1,200) = very low repeat purchase rate</t>
  </si>
  <si>
    <t>• TOP CHANNEL: Instagram (259) &amp; Email (250) are best referral sources</t>
  </si>
  <si>
    <t>🔍 CANCELLATION &amp; RETURN ANALYSIS</t>
  </si>
  <si>
    <t>BY PRODUCT</t>
  </si>
  <si>
    <t>Cancel+Return</t>
  </si>
  <si>
    <t>Cancel/Return %</t>
  </si>
  <si>
    <t>BY YEAR</t>
  </si>
  <si>
    <t>BY PAYMENT METHOD</t>
  </si>
  <si>
    <t>Payment Method</t>
  </si>
  <si>
    <t>BY REFERRAL SOURCE</t>
  </si>
  <si>
    <t>Referral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</si>
</sst>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yyyy\-mm\-dd"/>
    <numFmt numFmtId="165" formatCode="&quot;$&quot;#,##0.00"/>
    <numFmt numFmtId="170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24242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4" fillId="3" borderId="0" xfId="0" applyFont="1" applyFill="1"/>
    <xf numFmtId="14" fontId="0" fillId="0" borderId="0" xfId="0" applyNumberFormat="1"/>
    <xf numFmtId="165" fontId="0" fillId="0" borderId="0" xfId="0" applyNumberFormat="1"/>
    <xf numFmtId="0" fontId="1" fillId="4" borderId="0" xfId="0" applyFont="1" applyFill="1"/>
    <xf numFmtId="0" fontId="5" fillId="3" borderId="0" xfId="0" applyFont="1" applyFill="1"/>
    <xf numFmtId="6" fontId="0" fillId="0" borderId="0" xfId="0" applyNumberFormat="1"/>
    <xf numFmtId="0" fontId="5" fillId="5" borderId="0" xfId="0" applyFont="1" applyFill="1"/>
    <xf numFmtId="0" fontId="5" fillId="6" borderId="0" xfId="0" applyFont="1" applyFill="1"/>
    <xf numFmtId="0" fontId="6" fillId="0" borderId="2" xfId="0" applyFont="1" applyBorder="1" applyAlignment="1">
      <alignment horizontal="left" vertical="center" indent="1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Cancel/Return Rate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Analysis'!$A$69:$A$73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'Data Analysis'!$F$69:$F$73</c:f>
              <c:numCache>
                <c:formatCode>0.0%</c:formatCode>
                <c:ptCount val="5"/>
                <c:pt idx="0">
                  <c:v>0.432</c:v>
                </c:pt>
                <c:pt idx="1">
                  <c:v>0.42982456140350878</c:v>
                </c:pt>
                <c:pt idx="2">
                  <c:v>0.41908713692946059</c:v>
                </c:pt>
                <c:pt idx="3">
                  <c:v>0.37065637065637064</c:v>
                </c:pt>
                <c:pt idx="4">
                  <c:v>0.42342342342342343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6-4BDD-9AD0-89E29283C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4560016"/>
        <c:axId val="1644557616"/>
      </c:barChart>
      <c:catAx>
        <c:axId val="164456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57616"/>
        <c:crosses val="autoZero"/>
        <c:auto val="1"/>
        <c:lblAlgn val="ctr"/>
        <c:lblOffset val="100"/>
        <c:noMultiLvlLbl val="0"/>
      </c:catAx>
      <c:valAx>
        <c:axId val="164455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6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552643.23999999976</c:v>
              </c:pt>
              <c:pt idx="1">
                <c:v>480235.87000000034</c:v>
              </c:pt>
              <c:pt idx="2">
                <c:v>231882.85000000006</c:v>
              </c:pt>
            </c:numLit>
          </c:val>
          <c:extLst>
            <c:ext xmlns:c16="http://schemas.microsoft.com/office/drawing/2014/chart" uri="{C3380CC4-5D6E-409C-BE32-E72D297353CC}">
              <c16:uniqueId val="{00000000-A057-49C8-980C-6DCDCE135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206480"/>
        <c:axId val="355206960"/>
      </c:barChart>
      <c:catAx>
        <c:axId val="35520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06960"/>
        <c:crosses val="autoZero"/>
        <c:auto val="1"/>
        <c:lblAlgn val="ctr"/>
        <c:lblOffset val="100"/>
        <c:noMultiLvlLbl val="0"/>
      </c:catAx>
      <c:valAx>
        <c:axId val="355206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0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Quantity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562</c:v>
              </c:pt>
              <c:pt idx="1">
                <c:v>508</c:v>
              </c:pt>
              <c:pt idx="2">
                <c:v>535</c:v>
              </c:pt>
              <c:pt idx="3">
                <c:v>480</c:v>
              </c:pt>
              <c:pt idx="4">
                <c:v>411</c:v>
              </c:pt>
              <c:pt idx="5">
                <c:v>542</c:v>
              </c:pt>
              <c:pt idx="6">
                <c:v>497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758-4675-918B-38D8A036CEC7}"/>
            </c:ext>
          </c:extLst>
        </c:ser>
        <c:ser>
          <c:idx val="1"/>
          <c:order val="1"/>
          <c:tx>
            <c:v>Sum of TotalPrice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195620.11000000002</c:v>
              </c:pt>
              <c:pt idx="1">
                <c:v>167459.93</c:v>
              </c:pt>
              <c:pt idx="2">
                <c:v>192126.55999999994</c:v>
              </c:pt>
              <c:pt idx="3">
                <c:v>175651.40999999997</c:v>
              </c:pt>
              <c:pt idx="4">
                <c:v>151722.39000000001</c:v>
              </c:pt>
              <c:pt idx="5">
                <c:v>195612.60999999996</c:v>
              </c:pt>
              <c:pt idx="6">
                <c:v>186568.95000000007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758-4675-918B-38D8A036C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216160"/>
        <c:axId val="356223840"/>
      </c:lineChart>
      <c:catAx>
        <c:axId val="35621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23840"/>
        <c:crosses val="autoZero"/>
        <c:auto val="1"/>
        <c:lblAlgn val="ctr"/>
        <c:lblOffset val="100"/>
        <c:noMultiLvlLbl val="0"/>
      </c:catAx>
      <c:valAx>
        <c:axId val="35622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1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Cancel/Return Rate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Analysis'!$A$42:$A$48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'Data Analysis'!$F$42:$F$48</c:f>
              <c:numCache>
                <c:formatCode>0.0%</c:formatCode>
                <c:ptCount val="7"/>
                <c:pt idx="0">
                  <c:v>0.4101123595505618</c:v>
                </c:pt>
                <c:pt idx="1">
                  <c:v>0.39411764705882352</c:v>
                </c:pt>
                <c:pt idx="2">
                  <c:v>0.4277456647398844</c:v>
                </c:pt>
                <c:pt idx="3">
                  <c:v>0.43558282208588955</c:v>
                </c:pt>
                <c:pt idx="4">
                  <c:v>0.39743589743589741</c:v>
                </c:pt>
                <c:pt idx="5">
                  <c:v>0.40331491712707185</c:v>
                </c:pt>
                <c:pt idx="6">
                  <c:v>0.43016759776536312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0-41D7-A28C-7C3889629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0123440"/>
        <c:axId val="1950123920"/>
      </c:barChart>
      <c:catAx>
        <c:axId val="195012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123920"/>
        <c:crosses val="autoZero"/>
        <c:auto val="1"/>
        <c:lblAlgn val="ctr"/>
        <c:lblOffset val="100"/>
        <c:noMultiLvlLbl val="0"/>
      </c:catAx>
      <c:valAx>
        <c:axId val="1950123920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12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Cancel/Return Rate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Analysis'!$A$53:$A$55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'Data Analysis'!$F$53:$F$55</c:f>
              <c:numCache>
                <c:formatCode>0.0%</c:formatCode>
                <c:ptCount val="3"/>
                <c:pt idx="0">
                  <c:v>0.40980392156862744</c:v>
                </c:pt>
                <c:pt idx="1">
                  <c:v>0.39215686274509803</c:v>
                </c:pt>
                <c:pt idx="2">
                  <c:v>0.46753246753246752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4-4055-96A8-C443DA523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855024"/>
        <c:axId val="1690853104"/>
      </c:barChart>
      <c:catAx>
        <c:axId val="16908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853104"/>
        <c:crosses val="autoZero"/>
        <c:auto val="1"/>
        <c:lblAlgn val="ctr"/>
        <c:lblOffset val="100"/>
        <c:noMultiLvlLbl val="0"/>
      </c:catAx>
      <c:valAx>
        <c:axId val="169085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85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Cancel/Return Rate by Payment Method</a:t>
            </a:r>
          </a:p>
        </c:rich>
      </c:tx>
      <c:layout>
        <c:manualLayout>
          <c:xMode val="edge"/>
          <c:yMode val="edge"/>
          <c:x val="0.134763441102813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Analysis'!$A$60:$A$64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'Data Analysis'!$F$60:$F$64</c:f>
              <c:numCache>
                <c:formatCode>0.0%</c:formatCode>
                <c:ptCount val="5"/>
                <c:pt idx="0">
                  <c:v>0.43089430894308944</c:v>
                </c:pt>
                <c:pt idx="1">
                  <c:v>0.44017094017094016</c:v>
                </c:pt>
                <c:pt idx="2">
                  <c:v>0.40948275862068967</c:v>
                </c:pt>
                <c:pt idx="3">
                  <c:v>0.44347826086956521</c:v>
                </c:pt>
                <c:pt idx="4">
                  <c:v>0.35271317829457366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0-425B-9C84-1ACF99D43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6946784"/>
        <c:axId val="1696946304"/>
      </c:barChart>
      <c:catAx>
        <c:axId val="169694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946304"/>
        <c:crosses val="autoZero"/>
        <c:auto val="1"/>
        <c:lblAlgn val="ctr"/>
        <c:lblOffset val="100"/>
        <c:noMultiLvlLbl val="0"/>
      </c:catAx>
      <c:valAx>
        <c:axId val="1696946304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94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603250</xdr:colOff>
      <xdr:row>83</xdr:row>
      <xdr:rowOff>165100</xdr:rowOff>
    </xdr:from>
    <xdr:to>
      <xdr:col>16</xdr:col>
      <xdr:colOff>171450</xdr:colOff>
      <xdr:row>97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E63EABD-5C8A-597C-76D9-FB3F434A7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0</xdr:row>
      <xdr:rowOff>133350</xdr:rowOff>
    </xdr:from>
    <xdr:to>
      <xdr:col>6</xdr:col>
      <xdr:colOff>101600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545A3-5EBA-1E70-5728-02ECBAFBC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</xdr:colOff>
      <xdr:row>0</xdr:row>
      <xdr:rowOff>88900</xdr:rowOff>
    </xdr:from>
    <xdr:to>
      <xdr:col>17</xdr:col>
      <xdr:colOff>0</xdr:colOff>
      <xdr:row>12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B2DCF1-5434-FFFD-5BB3-4AA590518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298450</xdr:colOff>
      <xdr:row>13</xdr:row>
      <xdr:rowOff>120650</xdr:rowOff>
    </xdr:from>
    <xdr:to>
      <xdr:col>6</xdr:col>
      <xdr:colOff>120650</xdr:colOff>
      <xdr:row>23</xdr:row>
      <xdr:rowOff>95250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69026DE5-F09E-4488-BF24-DFF3EDFE9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390979</xdr:colOff>
      <xdr:row>50</xdr:row>
      <xdr:rowOff>144236</xdr:rowOff>
    </xdr:from>
    <xdr:to>
      <xdr:col>32</xdr:col>
      <xdr:colOff>151493</xdr:colOff>
      <xdr:row>59</xdr:row>
      <xdr:rowOff>81643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id="{E038411C-84DA-3A41-E47D-CE1FD6455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25400</xdr:colOff>
      <xdr:row>13</xdr:row>
      <xdr:rowOff>88901</xdr:rowOff>
    </xdr:from>
    <xdr:to>
      <xdr:col>17</xdr:col>
      <xdr:colOff>279400</xdr:colOff>
      <xdr:row>23</xdr:row>
      <xdr:rowOff>127001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AD11E8-CE8B-42CD-8CE1-5D844AB8C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P1201"/>
  <sheetViews>
    <sheetView workbookViewId="0">
      <selection activeCell="E123" sqref="E123"/>
    </sheetView>
  </sheetViews>
  <sheetFormatPr defaultColWidth="8.6328125" defaultRowHeight="14.5" x14ac:dyDescent="0.35"/>
  <cols>
    <col min="1" max="1" width="10.54296875" bestFit="1" customWidth="1"/>
    <col min="2" max="2" width="10.08984375" bestFit="1" customWidth="1"/>
    <col min="3" max="3" width="15.363281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  <col min="16" max="16" width="13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ht="15" hidden="1" thickBot="1" x14ac:dyDescent="0.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P2" s="14"/>
    </row>
    <row r="3" spans="1:16" hidden="1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6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6" hidden="1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6" hidden="1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6" hidden="1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6" hidden="1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6" hidden="1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6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6" hidden="1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6" hidden="1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6" hidden="1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6" hidden="1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6" hidden="1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6" hidden="1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hidden="1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hidden="1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hidden="1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hidden="1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hidden="1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hidden="1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hidden="1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hidden="1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hidden="1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hidden="1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hidden="1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hidden="1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hidden="1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hidden="1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hidden="1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hidden="1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hidden="1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hidden="1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hidden="1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hidden="1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hidden="1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hidden="1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hidden="1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hidden="1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hidden="1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hidden="1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hidden="1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hidden="1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hidden="1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hidden="1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hidden="1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hidden="1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hidden="1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hidden="1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hidden="1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hidden="1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hidden="1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hidden="1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hidden="1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hidden="1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hidden="1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hidden="1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hidden="1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hidden="1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hidden="1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hidden="1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hidden="1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hidden="1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hidden="1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hidden="1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hidden="1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hidden="1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hidden="1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hidden="1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hidden="1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hidden="1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hidden="1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hidden="1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hidden="1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hidden="1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hidden="1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hidden="1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hidden="1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hidden="1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hidden="1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hidden="1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hidden="1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hidden="1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hidden="1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hidden="1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hidden="1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hidden="1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hidden="1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hidden="1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hidden="1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hidden="1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hidden="1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hidden="1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hidden="1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hidden="1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hidden="1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hidden="1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hidden="1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hidden="1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hidden="1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hidden="1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hidden="1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hidden="1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hidden="1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hidden="1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hidden="1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hidden="1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hidden="1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hidden="1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hidden="1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hidden="1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hidden="1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hidden="1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hidden="1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hidden="1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hidden="1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hidden="1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hidden="1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hidden="1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hidden="1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hidden="1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hidden="1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hidden="1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hidden="1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hidden="1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hidden="1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hidden="1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hidden="1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hidden="1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hidden="1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hidden="1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hidden="1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hidden="1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hidden="1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hidden="1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hidden="1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hidden="1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hidden="1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hidden="1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hidden="1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hidden="1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hidden="1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hidden="1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hidden="1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hidden="1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hidden="1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hidden="1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hidden="1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hidden="1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hidden="1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hidden="1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hidden="1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hidden="1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hidden="1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hidden="1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hidden="1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hidden="1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hidden="1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hidden="1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hidden="1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hidden="1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hidden="1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hidden="1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hidden="1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hidden="1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hidden="1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hidden="1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hidden="1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hidden="1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hidden="1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hidden="1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hidden="1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hidden="1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hidden="1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hidden="1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hidden="1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hidden="1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hidden="1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hidden="1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hidden="1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hidden="1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hidden="1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hidden="1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hidden="1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hidden="1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hidden="1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hidden="1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hidden="1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hidden="1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hidden="1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hidden="1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hidden="1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hidden="1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hidden="1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hidden="1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hidden="1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hidden="1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hidden="1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hidden="1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hidden="1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hidden="1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hidden="1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hidden="1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hidden="1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hidden="1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hidden="1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hidden="1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hidden="1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hidden="1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hidden="1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hidden="1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hidden="1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hidden="1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hidden="1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hidden="1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hidden="1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hidden="1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hidden="1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hidden="1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hidden="1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hidden="1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hidden="1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hidden="1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hidden="1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hidden="1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hidden="1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hidden="1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hidden="1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hidden="1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hidden="1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hidden="1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hidden="1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hidden="1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hidden="1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hidden="1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hidden="1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hidden="1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hidden="1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hidden="1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hidden="1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hidden="1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hidden="1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hidden="1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hidden="1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hidden="1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hidden="1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hidden="1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hidden="1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hidden="1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hidden="1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hidden="1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hidden="1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hidden="1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hidden="1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hidden="1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hidden="1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hidden="1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hidden="1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hidden="1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hidden="1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hidden="1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hidden="1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hidden="1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hidden="1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hidden="1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hidden="1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hidden="1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hidden="1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hidden="1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hidden="1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hidden="1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hidden="1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hidden="1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hidden="1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hidden="1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hidden="1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hidden="1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hidden="1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hidden="1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hidden="1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hidden="1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hidden="1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hidden="1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hidden="1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hidden="1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hidden="1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hidden="1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hidden="1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hidden="1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hidden="1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hidden="1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hidden="1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hidden="1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hidden="1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hidden="1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hidden="1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hidden="1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hidden="1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hidden="1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hidden="1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hidden="1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hidden="1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hidden="1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hidden="1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hidden="1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hidden="1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hidden="1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hidden="1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hidden="1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hidden="1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hidden="1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hidden="1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hidden="1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hidden="1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hidden="1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hidden="1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hidden="1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hidden="1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hidden="1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hidden="1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hidden="1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hidden="1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hidden="1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hidden="1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hidden="1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hidden="1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hidden="1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hidden="1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hidden="1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hidden="1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hidden="1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hidden="1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hidden="1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hidden="1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hidden="1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hidden="1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hidden="1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hidden="1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hidden="1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hidden="1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hidden="1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hidden="1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hidden="1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hidden="1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hidden="1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hidden="1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hidden="1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hidden="1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hidden="1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hidden="1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hidden="1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hidden="1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hidden="1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hidden="1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hidden="1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hidden="1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hidden="1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hidden="1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hidden="1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hidden="1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hidden="1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hidden="1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hidden="1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hidden="1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hidden="1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hidden="1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hidden="1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hidden="1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hidden="1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hidden="1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hidden="1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hidden="1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hidden="1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hidden="1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hidden="1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hidden="1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hidden="1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hidden="1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hidden="1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hidden="1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hidden="1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hidden="1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hidden="1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hidden="1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hidden="1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hidden="1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hidden="1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hidden="1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hidden="1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hidden="1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hidden="1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hidden="1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hidden="1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hidden="1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hidden="1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hidden="1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hidden="1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hidden="1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hidden="1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hidden="1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hidden="1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hidden="1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hidden="1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hidden="1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hidden="1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hidden="1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hidden="1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hidden="1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hidden="1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hidden="1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hidden="1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hidden="1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hidden="1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hidden="1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hidden="1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hidden="1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hidden="1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hidden="1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hidden="1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hidden="1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hidden="1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hidden="1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hidden="1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hidden="1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hidden="1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hidden="1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hidden="1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hidden="1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hidden="1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hidden="1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hidden="1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hidden="1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hidden="1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hidden="1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hidden="1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hidden="1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hidden="1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hidden="1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hidden="1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hidden="1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hidden="1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hidden="1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hidden="1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hidden="1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hidden="1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hidden="1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hidden="1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hidden="1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hidden="1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hidden="1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hidden="1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hidden="1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hidden="1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hidden="1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hidden="1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hidden="1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hidden="1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hidden="1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hidden="1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hidden="1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hidden="1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hidden="1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hidden="1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hidden="1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hidden="1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hidden="1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hidden="1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hidden="1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hidden="1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hidden="1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hidden="1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hidden="1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hidden="1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hidden="1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hidden="1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hidden="1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hidden="1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hidden="1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hidden="1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hidden="1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hidden="1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hidden="1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hidden="1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hidden="1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hidden="1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hidden="1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hidden="1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hidden="1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hidden="1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hidden="1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hidden="1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hidden="1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hidden="1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hidden="1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hidden="1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hidden="1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hidden="1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hidden="1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hidden="1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hidden="1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hidden="1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hidden="1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hidden="1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hidden="1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hidden="1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hidden="1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hidden="1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hidden="1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hidden="1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hidden="1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hidden="1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hidden="1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hidden="1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hidden="1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hidden="1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hidden="1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hidden="1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hidden="1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hidden="1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hidden="1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hidden="1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hidden="1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hidden="1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hidden="1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hidden="1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hidden="1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hidden="1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hidden="1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hidden="1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hidden="1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hidden="1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hidden="1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hidden="1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hidden="1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hidden="1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hidden="1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hidden="1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hidden="1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hidden="1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hidden="1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hidden="1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hidden="1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hidden="1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hidden="1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hidden="1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hidden="1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hidden="1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hidden="1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hidden="1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hidden="1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hidden="1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hidden="1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hidden="1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hidden="1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hidden="1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hidden="1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hidden="1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hidden="1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hidden="1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hidden="1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hidden="1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hidden="1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hidden="1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hidden="1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hidden="1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hidden="1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hidden="1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hidden="1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hidden="1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hidden="1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hidden="1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hidden="1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hidden="1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hidden="1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hidden="1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hidden="1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hidden="1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hidden="1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hidden="1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hidden="1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hidden="1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hidden="1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hidden="1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hidden="1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hidden="1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hidden="1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hidden="1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hidden="1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hidden="1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hidden="1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hidden="1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hidden="1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hidden="1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hidden="1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hidden="1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hidden="1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hidden="1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hidden="1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hidden="1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hidden="1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hidden="1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hidden="1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hidden="1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hidden="1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hidden="1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hidden="1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hidden="1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hidden="1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hidden="1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hidden="1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hidden="1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hidden="1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hidden="1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hidden="1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hidden="1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hidden="1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hidden="1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hidden="1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hidden="1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hidden="1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hidden="1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hidden="1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hidden="1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hidden="1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hidden="1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hidden="1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hidden="1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hidden="1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hidden="1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hidden="1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hidden="1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hidden="1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hidden="1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hidden="1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hidden="1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hidden="1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hidden="1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hidden="1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hidden="1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hidden="1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hidden="1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hidden="1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hidden="1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hidden="1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hidden="1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hidden="1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hidden="1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hidden="1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hidden="1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hidden="1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hidden="1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hidden="1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hidden="1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hidden="1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hidden="1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hidden="1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hidden="1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hidden="1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hidden="1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hidden="1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hidden="1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hidden="1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hidden="1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hidden="1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hidden="1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hidden="1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hidden="1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hidden="1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hidden="1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hidden="1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hidden="1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hidden="1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hidden="1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hidden="1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hidden="1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hidden="1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hidden="1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hidden="1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hidden="1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hidden="1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hidden="1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hidden="1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hidden="1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hidden="1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hidden="1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hidden="1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hidden="1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hidden="1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hidden="1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hidden="1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hidden="1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hidden="1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hidden="1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hidden="1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hidden="1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hidden="1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hidden="1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hidden="1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hidden="1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hidden="1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hidden="1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hidden="1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hidden="1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hidden="1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hidden="1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hidden="1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hidden="1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hidden="1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hidden="1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hidden="1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hidden="1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hidden="1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hidden="1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hidden="1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hidden="1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hidden="1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hidden="1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hidden="1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hidden="1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hidden="1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hidden="1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hidden="1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hidden="1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hidden="1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hidden="1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hidden="1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hidden="1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hidden="1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hidden="1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hidden="1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hidden="1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hidden="1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hidden="1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hidden="1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hidden="1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hidden="1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hidden="1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hidden="1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hidden="1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hidden="1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hidden="1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hidden="1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hidden="1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hidden="1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hidden="1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hidden="1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hidden="1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hidden="1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hidden="1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hidden="1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hidden="1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hidden="1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hidden="1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hidden="1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hidden="1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hidden="1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hidden="1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hidden="1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hidden="1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hidden="1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hidden="1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hidden="1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hidden="1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hidden="1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hidden="1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hidden="1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hidden="1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hidden="1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hidden="1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hidden="1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hidden="1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hidden="1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hidden="1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hidden="1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hidden="1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hidden="1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hidden="1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hidden="1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hidden="1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hidden="1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hidden="1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hidden="1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hidden="1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hidden="1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hidden="1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hidden="1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hidden="1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hidden="1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hidden="1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hidden="1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hidden="1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hidden="1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hidden="1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hidden="1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hidden="1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hidden="1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hidden="1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hidden="1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hidden="1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hidden="1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hidden="1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hidden="1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hidden="1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hidden="1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hidden="1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hidden="1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hidden="1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hidden="1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hidden="1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hidden="1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hidden="1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hidden="1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hidden="1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hidden="1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hidden="1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hidden="1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hidden="1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hidden="1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hidden="1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hidden="1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hidden="1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hidden="1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hidden="1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hidden="1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hidden="1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hidden="1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hidden="1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hidden="1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hidden="1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hidden="1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hidden="1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hidden="1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hidden="1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hidden="1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hidden="1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hidden="1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hidden="1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hidden="1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hidden="1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hidden="1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hidden="1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hidden="1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hidden="1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hidden="1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hidden="1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hidden="1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hidden="1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hidden="1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hidden="1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hidden="1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hidden="1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hidden="1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hidden="1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hidden="1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hidden="1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hidden="1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hidden="1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hidden="1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hidden="1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hidden="1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hidden="1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hidden="1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hidden="1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hidden="1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hidden="1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hidden="1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hidden="1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hidden="1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hidden="1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hidden="1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hidden="1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hidden="1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hidden="1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hidden="1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hidden="1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hidden="1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hidden="1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hidden="1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hidden="1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hidden="1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hidden="1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hidden="1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hidden="1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hidden="1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hidden="1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hidden="1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hidden="1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hidden="1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hidden="1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hidden="1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hidden="1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hidden="1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hidden="1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hidden="1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hidden="1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hidden="1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hidden="1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hidden="1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hidden="1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hidden="1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hidden="1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hidden="1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hidden="1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hidden="1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hidden="1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hidden="1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hidden="1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hidden="1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hidden="1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hidden="1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hidden="1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hidden="1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hidden="1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hidden="1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hidden="1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hidden="1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hidden="1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hidden="1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hidden="1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hidden="1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hidden="1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hidden="1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hidden="1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hidden="1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hidden="1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hidden="1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hidden="1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hidden="1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hidden="1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hidden="1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hidden="1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hidden="1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hidden="1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hidden="1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hidden="1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hidden="1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hidden="1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hidden="1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hidden="1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hidden="1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hidden="1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hidden="1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hidden="1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hidden="1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hidden="1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hidden="1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hidden="1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hidden="1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hidden="1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hidden="1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hidden="1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hidden="1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>
    <filterColumn colId="8">
      <filters>
        <filter val="Cancell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C9CB-F6DD-474C-BD3C-18636C8843C0}">
  <sheetPr codeName="Sheet3"/>
  <dimension ref="A1:E23"/>
  <sheetViews>
    <sheetView workbookViewId="0">
      <selection activeCell="C17" sqref="C17"/>
    </sheetView>
  </sheetViews>
  <sheetFormatPr defaultRowHeight="14.5" x14ac:dyDescent="0.35"/>
  <cols>
    <col min="1" max="1" width="55.08984375" bestFit="1" customWidth="1"/>
    <col min="2" max="2" width="12.26953125" bestFit="1" customWidth="1"/>
    <col min="3" max="3" width="12.7265625" bestFit="1" customWidth="1"/>
    <col min="4" max="4" width="14.453125" bestFit="1" customWidth="1"/>
    <col min="5" max="5" width="8.54296875" bestFit="1" customWidth="1"/>
  </cols>
  <sheetData>
    <row r="1" spans="1:5" ht="23.5" x14ac:dyDescent="0.55000000000000004">
      <c r="A1" s="3" t="s">
        <v>4283</v>
      </c>
    </row>
    <row r="3" spans="1:5" ht="18.5" x14ac:dyDescent="0.45">
      <c r="A3" s="6" t="s">
        <v>4284</v>
      </c>
    </row>
    <row r="4" spans="1:5" x14ac:dyDescent="0.35">
      <c r="A4" s="4" t="s">
        <v>4285</v>
      </c>
      <c r="B4">
        <v>1200</v>
      </c>
    </row>
    <row r="5" spans="1:5" x14ac:dyDescent="0.35">
      <c r="A5" s="4" t="s">
        <v>4286</v>
      </c>
      <c r="B5" s="8">
        <v>1264761.96</v>
      </c>
    </row>
    <row r="6" spans="1:5" x14ac:dyDescent="0.35">
      <c r="A6" s="4" t="s">
        <v>4287</v>
      </c>
      <c r="B6" s="8">
        <v>1053.97</v>
      </c>
    </row>
    <row r="7" spans="1:5" x14ac:dyDescent="0.35">
      <c r="A7" s="4" t="s">
        <v>4288</v>
      </c>
      <c r="B7" s="8">
        <v>823.62</v>
      </c>
    </row>
    <row r="8" spans="1:5" x14ac:dyDescent="0.35">
      <c r="A8" s="4" t="s">
        <v>4289</v>
      </c>
      <c r="B8" s="8">
        <v>2.95</v>
      </c>
    </row>
    <row r="9" spans="1:5" x14ac:dyDescent="0.35">
      <c r="A9" s="4" t="s">
        <v>4290</v>
      </c>
      <c r="B9">
        <v>356.41</v>
      </c>
    </row>
    <row r="10" spans="1:5" x14ac:dyDescent="0.35">
      <c r="A10" s="4" t="s">
        <v>4291</v>
      </c>
      <c r="B10">
        <v>1189</v>
      </c>
    </row>
    <row r="11" spans="1:5" x14ac:dyDescent="0.35">
      <c r="A11" s="4" t="s">
        <v>4292</v>
      </c>
      <c r="B11">
        <v>7</v>
      </c>
    </row>
    <row r="12" spans="1:5" x14ac:dyDescent="0.35">
      <c r="A12" s="4" t="s">
        <v>4293</v>
      </c>
      <c r="B12" s="7">
        <v>44927</v>
      </c>
    </row>
    <row r="13" spans="1:5" x14ac:dyDescent="0.35">
      <c r="A13" s="4" t="s">
        <v>4294</v>
      </c>
      <c r="B13" s="7">
        <v>45838</v>
      </c>
    </row>
    <row r="15" spans="1:5" ht="18.5" x14ac:dyDescent="0.45">
      <c r="A15" s="6" t="s">
        <v>4295</v>
      </c>
    </row>
    <row r="16" spans="1:5" x14ac:dyDescent="0.35">
      <c r="A16" s="9" t="s">
        <v>3</v>
      </c>
      <c r="B16" s="9" t="s">
        <v>4296</v>
      </c>
      <c r="C16" s="9" t="s">
        <v>4286</v>
      </c>
      <c r="D16" s="9" t="s">
        <v>4287</v>
      </c>
      <c r="E16" s="9" t="s">
        <v>4297</v>
      </c>
    </row>
    <row r="17" spans="1:5" x14ac:dyDescent="0.35">
      <c r="A17" t="s">
        <v>2406</v>
      </c>
      <c r="B17">
        <v>178</v>
      </c>
      <c r="C17">
        <v>195620.11</v>
      </c>
      <c r="D17">
        <v>1098.99</v>
      </c>
      <c r="E17">
        <v>562</v>
      </c>
    </row>
    <row r="18" spans="1:5" x14ac:dyDescent="0.35">
      <c r="A18" t="s">
        <v>2409</v>
      </c>
      <c r="B18">
        <v>170</v>
      </c>
      <c r="C18">
        <v>167459.93</v>
      </c>
      <c r="D18">
        <v>985.06</v>
      </c>
      <c r="E18">
        <v>508</v>
      </c>
    </row>
    <row r="19" spans="1:5" x14ac:dyDescent="0.35">
      <c r="A19" t="s">
        <v>2408</v>
      </c>
      <c r="B19">
        <v>173</v>
      </c>
      <c r="C19">
        <v>192126.56</v>
      </c>
      <c r="D19">
        <v>1110.56</v>
      </c>
      <c r="E19">
        <v>535</v>
      </c>
    </row>
    <row r="20" spans="1:5" x14ac:dyDescent="0.35">
      <c r="A20" t="s">
        <v>2403</v>
      </c>
      <c r="B20">
        <v>163</v>
      </c>
      <c r="C20">
        <v>175651.41</v>
      </c>
      <c r="D20">
        <v>1077.6199999999999</v>
      </c>
      <c r="E20">
        <v>480</v>
      </c>
    </row>
    <row r="21" spans="1:5" x14ac:dyDescent="0.35">
      <c r="A21" t="s">
        <v>2404</v>
      </c>
      <c r="B21">
        <v>156</v>
      </c>
      <c r="C21">
        <v>151722.39000000001</v>
      </c>
      <c r="D21">
        <v>972.58</v>
      </c>
      <c r="E21">
        <v>411</v>
      </c>
    </row>
    <row r="22" spans="1:5" x14ac:dyDescent="0.35">
      <c r="A22" t="s">
        <v>2407</v>
      </c>
      <c r="B22">
        <v>181</v>
      </c>
      <c r="C22">
        <v>195612.61</v>
      </c>
      <c r="D22">
        <v>1080.73</v>
      </c>
      <c r="E22">
        <v>542</v>
      </c>
    </row>
    <row r="23" spans="1:5" x14ac:dyDescent="0.35">
      <c r="A23" t="s">
        <v>2405</v>
      </c>
      <c r="B23">
        <v>179</v>
      </c>
      <c r="C23">
        <v>186568.95</v>
      </c>
      <c r="D23">
        <v>1042.28</v>
      </c>
      <c r="E23">
        <v>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85FB-E634-4FD6-99C2-688B4104D8B6}">
  <sheetPr codeName="Sheet4"/>
  <dimension ref="A1:H73"/>
  <sheetViews>
    <sheetView zoomScale="70" zoomScaleNormal="70" workbookViewId="0">
      <selection activeCell="G60" sqref="G60"/>
    </sheetView>
  </sheetViews>
  <sheetFormatPr defaultRowHeight="14.5" x14ac:dyDescent="0.35"/>
  <cols>
    <col min="1" max="1" width="73.453125" bestFit="1" customWidth="1"/>
    <col min="2" max="2" width="11.26953125" bestFit="1" customWidth="1"/>
    <col min="3" max="3" width="8.90625" bestFit="1" customWidth="1"/>
    <col min="4" max="4" width="9" bestFit="1" customWidth="1"/>
    <col min="5" max="5" width="13.08984375" bestFit="1" customWidth="1"/>
    <col min="6" max="6" width="14.81640625" bestFit="1" customWidth="1"/>
    <col min="7" max="7" width="18.26953125" bestFit="1" customWidth="1"/>
    <col min="8" max="8" width="5.90625" bestFit="1" customWidth="1"/>
  </cols>
  <sheetData>
    <row r="1" spans="1:8" ht="23.5" x14ac:dyDescent="0.55000000000000004">
      <c r="A1" s="3" t="s">
        <v>4283</v>
      </c>
    </row>
    <row r="3" spans="1:8" x14ac:dyDescent="0.35">
      <c r="A3" s="10" t="s">
        <v>4284</v>
      </c>
      <c r="G3" s="12" t="s">
        <v>4303</v>
      </c>
    </row>
    <row r="4" spans="1:8" x14ac:dyDescent="0.35">
      <c r="A4" s="4" t="s">
        <v>4285</v>
      </c>
      <c r="B4">
        <v>1200</v>
      </c>
      <c r="G4" s="9" t="s">
        <v>4304</v>
      </c>
      <c r="H4" s="9" t="s">
        <v>4305</v>
      </c>
    </row>
    <row r="5" spans="1:8" x14ac:dyDescent="0.35">
      <c r="A5" s="4" t="s">
        <v>4286</v>
      </c>
      <c r="B5" s="11">
        <v>1264762</v>
      </c>
      <c r="G5" t="s">
        <v>3071</v>
      </c>
      <c r="H5">
        <v>250</v>
      </c>
    </row>
    <row r="6" spans="1:8" x14ac:dyDescent="0.35">
      <c r="A6" s="4" t="s">
        <v>4287</v>
      </c>
      <c r="B6" s="11">
        <v>1054</v>
      </c>
      <c r="G6" t="s">
        <v>3072</v>
      </c>
      <c r="H6">
        <v>247</v>
      </c>
    </row>
    <row r="7" spans="1:8" x14ac:dyDescent="0.35">
      <c r="A7" s="4" t="s">
        <v>4288</v>
      </c>
      <c r="B7" s="11">
        <v>824</v>
      </c>
      <c r="G7" t="s">
        <v>3074</v>
      </c>
      <c r="H7">
        <v>237</v>
      </c>
    </row>
    <row r="8" spans="1:8" x14ac:dyDescent="0.35">
      <c r="A8" s="4" t="s">
        <v>4289</v>
      </c>
      <c r="B8">
        <v>2.95</v>
      </c>
      <c r="G8" t="s">
        <v>3070</v>
      </c>
      <c r="H8">
        <v>235</v>
      </c>
    </row>
    <row r="9" spans="1:8" x14ac:dyDescent="0.35">
      <c r="A9" s="4" t="s">
        <v>4290</v>
      </c>
      <c r="B9" s="11">
        <v>356</v>
      </c>
      <c r="G9" t="s">
        <v>3073</v>
      </c>
      <c r="H9">
        <v>231</v>
      </c>
    </row>
    <row r="10" spans="1:8" x14ac:dyDescent="0.35">
      <c r="A10" s="4" t="s">
        <v>4291</v>
      </c>
      <c r="B10">
        <v>1189</v>
      </c>
    </row>
    <row r="11" spans="1:8" x14ac:dyDescent="0.35">
      <c r="A11" s="4" t="s">
        <v>4292</v>
      </c>
      <c r="B11">
        <v>7</v>
      </c>
      <c r="G11" s="12" t="s">
        <v>4306</v>
      </c>
    </row>
    <row r="12" spans="1:8" x14ac:dyDescent="0.35">
      <c r="A12" s="4" t="s">
        <v>4293</v>
      </c>
      <c r="B12" s="7">
        <v>44927</v>
      </c>
      <c r="G12" s="9" t="s">
        <v>4307</v>
      </c>
      <c r="H12" s="9" t="s">
        <v>4305</v>
      </c>
    </row>
    <row r="13" spans="1:8" x14ac:dyDescent="0.35">
      <c r="A13" s="4" t="s">
        <v>4294</v>
      </c>
      <c r="B13" s="7">
        <v>45838</v>
      </c>
      <c r="G13" t="s">
        <v>3066</v>
      </c>
      <c r="H13">
        <v>258</v>
      </c>
    </row>
    <row r="14" spans="1:8" x14ac:dyDescent="0.35">
      <c r="G14" t="s">
        <v>3069</v>
      </c>
      <c r="H14">
        <v>246</v>
      </c>
    </row>
    <row r="15" spans="1:8" x14ac:dyDescent="0.35">
      <c r="A15" s="10" t="s">
        <v>4295</v>
      </c>
      <c r="G15" t="s">
        <v>3067</v>
      </c>
      <c r="H15">
        <v>234</v>
      </c>
    </row>
    <row r="16" spans="1:8" x14ac:dyDescent="0.35">
      <c r="A16" s="9" t="s">
        <v>3</v>
      </c>
      <c r="B16" s="9" t="s">
        <v>4296</v>
      </c>
      <c r="C16" s="9" t="s">
        <v>4298</v>
      </c>
      <c r="D16" s="9" t="s">
        <v>4299</v>
      </c>
      <c r="E16" s="9" t="s">
        <v>4300</v>
      </c>
      <c r="G16" t="s">
        <v>3065</v>
      </c>
      <c r="H16">
        <v>232</v>
      </c>
    </row>
    <row r="17" spans="1:8" x14ac:dyDescent="0.35">
      <c r="A17" t="s">
        <v>2406</v>
      </c>
      <c r="B17">
        <v>178</v>
      </c>
      <c r="C17" s="11">
        <v>195620</v>
      </c>
      <c r="D17" s="11">
        <v>1099</v>
      </c>
      <c r="E17">
        <v>562</v>
      </c>
      <c r="G17" t="s">
        <v>3068</v>
      </c>
      <c r="H17">
        <v>230</v>
      </c>
    </row>
    <row r="18" spans="1:8" x14ac:dyDescent="0.35">
      <c r="A18" t="s">
        <v>2409</v>
      </c>
      <c r="B18">
        <v>170</v>
      </c>
      <c r="C18" s="11">
        <v>167460</v>
      </c>
      <c r="D18" s="11">
        <v>985</v>
      </c>
      <c r="E18">
        <v>508</v>
      </c>
    </row>
    <row r="19" spans="1:8" x14ac:dyDescent="0.35">
      <c r="A19" t="s">
        <v>2408</v>
      </c>
      <c r="B19">
        <v>173</v>
      </c>
      <c r="C19" s="11">
        <v>192127</v>
      </c>
      <c r="D19" s="11">
        <v>1111</v>
      </c>
      <c r="E19">
        <v>535</v>
      </c>
      <c r="G19" s="12" t="s">
        <v>4308</v>
      </c>
    </row>
    <row r="20" spans="1:8" x14ac:dyDescent="0.35">
      <c r="A20" t="s">
        <v>2403</v>
      </c>
      <c r="B20">
        <v>163</v>
      </c>
      <c r="C20" s="11">
        <v>175651</v>
      </c>
      <c r="D20" s="11">
        <v>1078</v>
      </c>
      <c r="E20">
        <v>480</v>
      </c>
      <c r="G20" s="9" t="s">
        <v>4309</v>
      </c>
      <c r="H20" s="9" t="s">
        <v>4305</v>
      </c>
    </row>
    <row r="21" spans="1:8" x14ac:dyDescent="0.35">
      <c r="A21" t="s">
        <v>2404</v>
      </c>
      <c r="B21">
        <v>156</v>
      </c>
      <c r="C21" s="11">
        <v>151722</v>
      </c>
      <c r="D21" s="11">
        <v>973</v>
      </c>
      <c r="E21">
        <v>411</v>
      </c>
      <c r="G21" t="s">
        <v>4278</v>
      </c>
      <c r="H21">
        <v>259</v>
      </c>
    </row>
    <row r="22" spans="1:8" x14ac:dyDescent="0.35">
      <c r="A22" t="s">
        <v>2407</v>
      </c>
      <c r="B22">
        <v>181</v>
      </c>
      <c r="C22" s="11">
        <v>195613</v>
      </c>
      <c r="D22" s="11">
        <v>1081</v>
      </c>
      <c r="E22">
        <v>542</v>
      </c>
      <c r="G22" t="s">
        <v>4280</v>
      </c>
      <c r="H22">
        <v>250</v>
      </c>
    </row>
    <row r="23" spans="1:8" x14ac:dyDescent="0.35">
      <c r="A23" t="s">
        <v>2405</v>
      </c>
      <c r="B23">
        <v>179</v>
      </c>
      <c r="C23" s="11">
        <v>186569</v>
      </c>
      <c r="D23" s="11">
        <v>1042</v>
      </c>
      <c r="E23">
        <v>497</v>
      </c>
      <c r="G23" t="s">
        <v>4282</v>
      </c>
      <c r="H23">
        <v>241</v>
      </c>
    </row>
    <row r="24" spans="1:8" x14ac:dyDescent="0.35">
      <c r="G24" t="s">
        <v>4281</v>
      </c>
      <c r="H24">
        <v>228</v>
      </c>
    </row>
    <row r="25" spans="1:8" x14ac:dyDescent="0.35">
      <c r="A25" s="10" t="s">
        <v>4301</v>
      </c>
      <c r="G25" t="s">
        <v>4279</v>
      </c>
      <c r="H25">
        <v>222</v>
      </c>
    </row>
    <row r="26" spans="1:8" x14ac:dyDescent="0.35">
      <c r="A26" s="9" t="s">
        <v>4302</v>
      </c>
      <c r="B26" s="9" t="s">
        <v>4296</v>
      </c>
      <c r="C26" s="9" t="s">
        <v>4298</v>
      </c>
      <c r="D26" s="9" t="s">
        <v>4299</v>
      </c>
    </row>
    <row r="27" spans="1:8" x14ac:dyDescent="0.35">
      <c r="A27">
        <v>2023</v>
      </c>
      <c r="B27">
        <v>510</v>
      </c>
      <c r="C27" s="11">
        <v>552643</v>
      </c>
      <c r="D27" s="11">
        <v>1084</v>
      </c>
    </row>
    <row r="28" spans="1:8" x14ac:dyDescent="0.35">
      <c r="A28">
        <v>2024</v>
      </c>
      <c r="B28">
        <v>459</v>
      </c>
      <c r="C28" s="11">
        <v>480236</v>
      </c>
      <c r="D28" s="11">
        <v>1046</v>
      </c>
    </row>
    <row r="29" spans="1:8" x14ac:dyDescent="0.35">
      <c r="A29">
        <v>2025</v>
      </c>
      <c r="B29">
        <v>231</v>
      </c>
      <c r="C29" s="11">
        <v>231883</v>
      </c>
      <c r="D29" s="11">
        <v>1004</v>
      </c>
    </row>
    <row r="31" spans="1:8" x14ac:dyDescent="0.35">
      <c r="A31" s="13" t="s">
        <v>4310</v>
      </c>
    </row>
    <row r="32" spans="1:8" x14ac:dyDescent="0.35">
      <c r="A32" t="s">
        <v>4311</v>
      </c>
    </row>
    <row r="33" spans="1:6" x14ac:dyDescent="0.35">
      <c r="A33" t="s">
        <v>4312</v>
      </c>
    </row>
    <row r="34" spans="1:6" x14ac:dyDescent="0.35">
      <c r="A34" t="s">
        <v>4313</v>
      </c>
    </row>
    <row r="35" spans="1:6" x14ac:dyDescent="0.35">
      <c r="A35" t="s">
        <v>4314</v>
      </c>
    </row>
    <row r="36" spans="1:6" x14ac:dyDescent="0.35">
      <c r="A36" t="s">
        <v>4315</v>
      </c>
    </row>
    <row r="38" spans="1:6" ht="18.5" x14ac:dyDescent="0.45">
      <c r="A38" s="5" t="s">
        <v>4316</v>
      </c>
    </row>
    <row r="40" spans="1:6" x14ac:dyDescent="0.35">
      <c r="A40" s="4" t="s">
        <v>4317</v>
      </c>
    </row>
    <row r="41" spans="1:6" x14ac:dyDescent="0.35">
      <c r="A41" s="4" t="s">
        <v>3</v>
      </c>
      <c r="B41" s="4" t="s">
        <v>4285</v>
      </c>
      <c r="C41" s="4" t="s">
        <v>3071</v>
      </c>
      <c r="D41" s="4" t="s">
        <v>3072</v>
      </c>
      <c r="E41" s="4" t="s">
        <v>4318</v>
      </c>
      <c r="F41" s="4" t="s">
        <v>4319</v>
      </c>
    </row>
    <row r="42" spans="1:6" x14ac:dyDescent="0.35">
      <c r="A42" t="s">
        <v>2406</v>
      </c>
      <c r="B42">
        <f>COUNTIF(Sheet1!D:D,A42)</f>
        <v>178</v>
      </c>
      <c r="C42">
        <f>COUNTIFS(Sheet1!D:D,A42,Sheet1!I:I,"Cancelled")</f>
        <v>45</v>
      </c>
      <c r="D42">
        <f>COUNTIFS(Sheet1!D:D,A42,Sheet1!I:I,"Returned")</f>
        <v>28</v>
      </c>
      <c r="E42">
        <f>C42+D42</f>
        <v>73</v>
      </c>
      <c r="F42" s="15">
        <f>E42/B42</f>
        <v>0.4101123595505618</v>
      </c>
    </row>
    <row r="43" spans="1:6" x14ac:dyDescent="0.35">
      <c r="A43" t="s">
        <v>2409</v>
      </c>
      <c r="B43">
        <f>COUNTIF(Sheet1!D:D,A43)</f>
        <v>170</v>
      </c>
      <c r="C43">
        <f>COUNTIFS(Sheet1!D:D,A43,Sheet1!I:I,"Cancelled")</f>
        <v>35</v>
      </c>
      <c r="D43">
        <f>COUNTIFS(Sheet1!D:D,A43,Sheet1!I:I,"Returned")</f>
        <v>32</v>
      </c>
      <c r="E43">
        <f>C43+D43</f>
        <v>67</v>
      </c>
      <c r="F43" s="15">
        <f>E43/B43</f>
        <v>0.39411764705882352</v>
      </c>
    </row>
    <row r="44" spans="1:6" x14ac:dyDescent="0.35">
      <c r="A44" t="s">
        <v>2408</v>
      </c>
      <c r="B44">
        <f>COUNTIF(Sheet1!D:D,A44)</f>
        <v>173</v>
      </c>
      <c r="C44">
        <f>COUNTIFS(Sheet1!D:D,A44,Sheet1!I:I,"Cancelled")</f>
        <v>35</v>
      </c>
      <c r="D44">
        <f>COUNTIFS(Sheet1!D:D,A44,Sheet1!I:I,"Returned")</f>
        <v>39</v>
      </c>
      <c r="E44">
        <f>C44+D44</f>
        <v>74</v>
      </c>
      <c r="F44" s="15">
        <f>E44/B44</f>
        <v>0.4277456647398844</v>
      </c>
    </row>
    <row r="45" spans="1:6" x14ac:dyDescent="0.35">
      <c r="A45" t="s">
        <v>2403</v>
      </c>
      <c r="B45">
        <f>COUNTIF(Sheet1!D:D,A45)</f>
        <v>163</v>
      </c>
      <c r="C45">
        <f>COUNTIFS(Sheet1!D:D,A45,Sheet1!I:I,"Cancelled")</f>
        <v>35</v>
      </c>
      <c r="D45">
        <f>COUNTIFS(Sheet1!D:D,A45,Sheet1!I:I,"Returned")</f>
        <v>36</v>
      </c>
      <c r="E45">
        <f>C45+D45</f>
        <v>71</v>
      </c>
      <c r="F45" s="15">
        <f>E45/B45</f>
        <v>0.43558282208588955</v>
      </c>
    </row>
    <row r="46" spans="1:6" x14ac:dyDescent="0.35">
      <c r="A46" t="s">
        <v>2404</v>
      </c>
      <c r="B46">
        <f>COUNTIF(Sheet1!D:D,A46)</f>
        <v>156</v>
      </c>
      <c r="C46">
        <f>COUNTIFS(Sheet1!D:D,A46,Sheet1!I:I,"Cancelled")</f>
        <v>31</v>
      </c>
      <c r="D46">
        <f>COUNTIFS(Sheet1!D:D,A46,Sheet1!I:I,"Returned")</f>
        <v>31</v>
      </c>
      <c r="E46">
        <f>C46+D46</f>
        <v>62</v>
      </c>
      <c r="F46" s="15">
        <f>E46/B46</f>
        <v>0.39743589743589741</v>
      </c>
    </row>
    <row r="47" spans="1:6" x14ac:dyDescent="0.35">
      <c r="A47" t="s">
        <v>2407</v>
      </c>
      <c r="B47">
        <f>COUNTIF(Sheet1!D:D,A47)</f>
        <v>181</v>
      </c>
      <c r="C47">
        <f>COUNTIFS(Sheet1!D:D,A47,Sheet1!I:I,"Cancelled")</f>
        <v>35</v>
      </c>
      <c r="D47">
        <f>COUNTIFS(Sheet1!D:D,A47,Sheet1!I:I,"Returned")</f>
        <v>38</v>
      </c>
      <c r="E47">
        <f>C47+D47</f>
        <v>73</v>
      </c>
      <c r="F47" s="15">
        <f>E47/B47</f>
        <v>0.40331491712707185</v>
      </c>
    </row>
    <row r="48" spans="1:6" x14ac:dyDescent="0.35">
      <c r="A48" t="s">
        <v>2405</v>
      </c>
      <c r="B48">
        <f>COUNTIF(Sheet1!D:D,A48)</f>
        <v>179</v>
      </c>
      <c r="C48">
        <f>COUNTIFS(Sheet1!D:D,A48,Sheet1!I:I,"Cancelled")</f>
        <v>34</v>
      </c>
      <c r="D48">
        <f>COUNTIFS(Sheet1!D:D,A48,Sheet1!I:I,"Returned")</f>
        <v>43</v>
      </c>
      <c r="E48">
        <f>C48+D48</f>
        <v>77</v>
      </c>
      <c r="F48" s="15">
        <f>E48/B48</f>
        <v>0.43016759776536312</v>
      </c>
    </row>
    <row r="51" spans="1:6" x14ac:dyDescent="0.35">
      <c r="A51" s="4" t="s">
        <v>4320</v>
      </c>
    </row>
    <row r="52" spans="1:6" x14ac:dyDescent="0.35">
      <c r="A52" s="4" t="s">
        <v>4302</v>
      </c>
      <c r="B52" s="4" t="s">
        <v>4285</v>
      </c>
      <c r="C52" s="4" t="s">
        <v>3071</v>
      </c>
      <c r="D52" s="4" t="s">
        <v>3072</v>
      </c>
      <c r="E52" s="4" t="s">
        <v>4318</v>
      </c>
      <c r="F52" s="4" t="s">
        <v>4319</v>
      </c>
    </row>
    <row r="53" spans="1:6" x14ac:dyDescent="0.35">
      <c r="A53">
        <v>2023</v>
      </c>
      <c r="B53" cm="1">
        <f t="array" ref="B53">SUMPRODUCT((YEAR(Sheet1!$B$2:$B$1201)=2023)*1)</f>
        <v>510</v>
      </c>
      <c r="C53" cm="1">
        <f t="array" ref="C53">SUMPRODUCT((YEAR(Sheet1!$B$2:$B$1201)=2023)*(Sheet1!$I$2:$I$1201="Cancelled")*1)</f>
        <v>107</v>
      </c>
      <c r="D53" cm="1">
        <f t="array" ref="D53">SUMPRODUCT((YEAR(Sheet1!$B$2:$B$1201)=2023)*(Sheet1!$I$2:$I$1201="Returned")*1)</f>
        <v>102</v>
      </c>
      <c r="E53">
        <f>C53+D53</f>
        <v>209</v>
      </c>
      <c r="F53" s="15">
        <f>E53/B53</f>
        <v>0.40980392156862744</v>
      </c>
    </row>
    <row r="54" spans="1:6" x14ac:dyDescent="0.35">
      <c r="A54">
        <v>2024</v>
      </c>
      <c r="B54" cm="1">
        <f t="array" ref="B54">SUMPRODUCT((YEAR(Sheet1!$B$2:$B$1201)=2024)*1)</f>
        <v>459</v>
      </c>
      <c r="C54" cm="1">
        <f t="array" ref="C54">SUMPRODUCT((YEAR(Sheet1!$B$2:$B$1201)=2024)*(Sheet1!$I$2:$I$1201="Cancelled")*1)</f>
        <v>83</v>
      </c>
      <c r="D54" cm="1">
        <f t="array" ref="D54">SUMPRODUCT((YEAR(Sheet1!$B$2:$B$1201)=2024)*(Sheet1!$I$2:$I$1201="Returned")*1)</f>
        <v>97</v>
      </c>
      <c r="E54">
        <f>C54+D54</f>
        <v>180</v>
      </c>
      <c r="F54" s="15">
        <f>E54/B54</f>
        <v>0.39215686274509803</v>
      </c>
    </row>
    <row r="55" spans="1:6" x14ac:dyDescent="0.35">
      <c r="A55">
        <v>2025</v>
      </c>
      <c r="B55" cm="1">
        <f t="array" ref="B55">SUMPRODUCT((YEAR(Sheet1!$B$2:$B$1201)=2025)*1)</f>
        <v>231</v>
      </c>
      <c r="C55" cm="1">
        <f t="array" ref="C55">SUMPRODUCT((YEAR(Sheet1!$B$2:$B$1201)=2025)*(Sheet1!$I$2:$I$1201="Cancelled")*1)</f>
        <v>60</v>
      </c>
      <c r="D55" cm="1">
        <f t="array" ref="D55">SUMPRODUCT((YEAR(Sheet1!$B$2:$B$1201)=2025)*(Sheet1!$I$2:$I$1201="Returned")*1)</f>
        <v>48</v>
      </c>
      <c r="E55">
        <f>C55+D55</f>
        <v>108</v>
      </c>
      <c r="F55" s="15">
        <f>E55/B55</f>
        <v>0.46753246753246752</v>
      </c>
    </row>
    <row r="58" spans="1:6" x14ac:dyDescent="0.35">
      <c r="A58" s="4" t="s">
        <v>4321</v>
      </c>
    </row>
    <row r="59" spans="1:6" x14ac:dyDescent="0.35">
      <c r="A59" s="4" t="s">
        <v>4322</v>
      </c>
      <c r="B59" s="4" t="s">
        <v>4285</v>
      </c>
      <c r="C59" s="4" t="s">
        <v>3071</v>
      </c>
      <c r="D59" s="4" t="s">
        <v>3072</v>
      </c>
      <c r="E59" s="4" t="s">
        <v>4318</v>
      </c>
      <c r="F59" s="4" t="s">
        <v>4319</v>
      </c>
    </row>
    <row r="60" spans="1:6" x14ac:dyDescent="0.35">
      <c r="A60" t="s">
        <v>3069</v>
      </c>
      <c r="B60">
        <f>COUNTIF(Sheet1!H:H,A60)</f>
        <v>246</v>
      </c>
      <c r="C60">
        <f>COUNTIFS(Sheet1!H:H,A60,Sheet1!I:I,"Cancelled")</f>
        <v>49</v>
      </c>
      <c r="D60">
        <f>COUNTIFS(Sheet1!H:H,A60,Sheet1!I:I,"Returned")</f>
        <v>57</v>
      </c>
      <c r="E60">
        <f>C60+D60</f>
        <v>106</v>
      </c>
      <c r="F60" s="15">
        <f>E60/B60</f>
        <v>0.43089430894308944</v>
      </c>
    </row>
    <row r="61" spans="1:6" x14ac:dyDescent="0.35">
      <c r="A61" t="s">
        <v>3067</v>
      </c>
      <c r="B61">
        <f>COUNTIF(Sheet1!H:H,A61)</f>
        <v>234</v>
      </c>
      <c r="C61">
        <f>COUNTIFS(Sheet1!H:H,A61,Sheet1!I:I,"Cancelled")</f>
        <v>54</v>
      </c>
      <c r="D61">
        <f>COUNTIFS(Sheet1!H:H,A61,Sheet1!I:I,"Returned")</f>
        <v>49</v>
      </c>
      <c r="E61">
        <f>C61+D61</f>
        <v>103</v>
      </c>
      <c r="F61" s="15">
        <f>E61/B61</f>
        <v>0.44017094017094016</v>
      </c>
    </row>
    <row r="62" spans="1:6" x14ac:dyDescent="0.35">
      <c r="A62" t="s">
        <v>3065</v>
      </c>
      <c r="B62">
        <f>COUNTIF(Sheet1!H:H,A62)</f>
        <v>232</v>
      </c>
      <c r="C62">
        <f>COUNTIFS(Sheet1!H:H,A62,Sheet1!I:I,"Cancelled")</f>
        <v>44</v>
      </c>
      <c r="D62">
        <f>COUNTIFS(Sheet1!H:H,A62,Sheet1!I:I,"Returned")</f>
        <v>51</v>
      </c>
      <c r="E62">
        <f>C62+D62</f>
        <v>95</v>
      </c>
      <c r="F62" s="15">
        <f>E62/B62</f>
        <v>0.40948275862068967</v>
      </c>
    </row>
    <row r="63" spans="1:6" x14ac:dyDescent="0.35">
      <c r="A63" t="s">
        <v>3068</v>
      </c>
      <c r="B63">
        <f>COUNTIF(Sheet1!H:H,A63)</f>
        <v>230</v>
      </c>
      <c r="C63">
        <f>COUNTIFS(Sheet1!H:H,A63,Sheet1!I:I,"Cancelled")</f>
        <v>50</v>
      </c>
      <c r="D63">
        <f>COUNTIFS(Sheet1!H:H,A63,Sheet1!I:I,"Returned")</f>
        <v>52</v>
      </c>
      <c r="E63">
        <f>C63+D63</f>
        <v>102</v>
      </c>
      <c r="F63" s="15">
        <f>E63/B63</f>
        <v>0.44347826086956521</v>
      </c>
    </row>
    <row r="64" spans="1:6" x14ac:dyDescent="0.35">
      <c r="A64" t="s">
        <v>3066</v>
      </c>
      <c r="B64">
        <f>COUNTIF(Sheet1!H:H,A64)</f>
        <v>258</v>
      </c>
      <c r="C64">
        <f>COUNTIFS(Sheet1!H:H,A64,Sheet1!I:I,"Cancelled")</f>
        <v>53</v>
      </c>
      <c r="D64">
        <f>COUNTIFS(Sheet1!H:H,A64,Sheet1!I:I,"Returned")</f>
        <v>38</v>
      </c>
      <c r="E64">
        <f>C64+D64</f>
        <v>91</v>
      </c>
      <c r="F64" s="15">
        <f>E64/B64</f>
        <v>0.35271317829457366</v>
      </c>
    </row>
    <row r="67" spans="1:6" x14ac:dyDescent="0.35">
      <c r="A67" s="4" t="s">
        <v>4323</v>
      </c>
    </row>
    <row r="68" spans="1:6" x14ac:dyDescent="0.35">
      <c r="A68" s="4" t="s">
        <v>4324</v>
      </c>
      <c r="B68" s="4" t="s">
        <v>4285</v>
      </c>
      <c r="C68" s="4" t="s">
        <v>3071</v>
      </c>
      <c r="D68" s="4" t="s">
        <v>3072</v>
      </c>
      <c r="E68" s="4" t="s">
        <v>4318</v>
      </c>
      <c r="F68" s="4" t="s">
        <v>4319</v>
      </c>
    </row>
    <row r="69" spans="1:6" x14ac:dyDescent="0.35">
      <c r="A69" t="s">
        <v>4280</v>
      </c>
      <c r="B69">
        <f>COUNTIF(Sheet1!M:M,A69)</f>
        <v>250</v>
      </c>
      <c r="C69">
        <f>COUNTIFS(Sheet1!M:M,A69,Sheet1!I:I,"Cancelled")</f>
        <v>59</v>
      </c>
      <c r="D69">
        <f>COUNTIFS(Sheet1!M:M,A69,Sheet1!I:I,"Returned")</f>
        <v>49</v>
      </c>
      <c r="E69">
        <f>C69+D69</f>
        <v>108</v>
      </c>
      <c r="F69" s="15">
        <f>E69/B69</f>
        <v>0.432</v>
      </c>
    </row>
    <row r="70" spans="1:6" x14ac:dyDescent="0.35">
      <c r="A70" t="s">
        <v>4281</v>
      </c>
      <c r="B70">
        <f>COUNTIF(Sheet1!M:M,A70)</f>
        <v>228</v>
      </c>
      <c r="C70">
        <f>COUNTIFS(Sheet1!M:M,A70,Sheet1!I:I,"Cancelled")</f>
        <v>42</v>
      </c>
      <c r="D70">
        <f>COUNTIFS(Sheet1!M:M,A70,Sheet1!I:I,"Returned")</f>
        <v>56</v>
      </c>
      <c r="E70">
        <f>C70+D70</f>
        <v>98</v>
      </c>
      <c r="F70" s="15">
        <f>E70/B70</f>
        <v>0.42982456140350878</v>
      </c>
    </row>
    <row r="71" spans="1:6" x14ac:dyDescent="0.35">
      <c r="A71" t="s">
        <v>4282</v>
      </c>
      <c r="B71">
        <f>COUNTIF(Sheet1!M:M,A71)</f>
        <v>241</v>
      </c>
      <c r="C71">
        <f>COUNTIFS(Sheet1!M:M,A71,Sheet1!I:I,"Cancelled")</f>
        <v>58</v>
      </c>
      <c r="D71">
        <f>COUNTIFS(Sheet1!M:M,A71,Sheet1!I:I,"Returned")</f>
        <v>43</v>
      </c>
      <c r="E71">
        <f>C71+D71</f>
        <v>101</v>
      </c>
      <c r="F71" s="15">
        <f>E71/B71</f>
        <v>0.41908713692946059</v>
      </c>
    </row>
    <row r="72" spans="1:6" x14ac:dyDescent="0.35">
      <c r="A72" t="s">
        <v>4278</v>
      </c>
      <c r="B72">
        <f>COUNTIF(Sheet1!M:M,A72)</f>
        <v>259</v>
      </c>
      <c r="C72">
        <f>COUNTIFS(Sheet1!M:M,A72,Sheet1!I:I,"Cancelled")</f>
        <v>41</v>
      </c>
      <c r="D72">
        <f>COUNTIFS(Sheet1!M:M,A72,Sheet1!I:I,"Returned")</f>
        <v>55</v>
      </c>
      <c r="E72">
        <f>C72+D72</f>
        <v>96</v>
      </c>
      <c r="F72" s="15">
        <f>E72/B72</f>
        <v>0.37065637065637064</v>
      </c>
    </row>
    <row r="73" spans="1:6" x14ac:dyDescent="0.35">
      <c r="A73" t="s">
        <v>4279</v>
      </c>
      <c r="B73">
        <f>COUNTIF(Sheet1!M:M,A73)</f>
        <v>222</v>
      </c>
      <c r="C73">
        <f>COUNTIFS(Sheet1!M:M,A73,Sheet1!I:I,"Cancelled")</f>
        <v>50</v>
      </c>
      <c r="D73">
        <f>COUNTIFS(Sheet1!M:M,A73,Sheet1!I:I,"Returned")</f>
        <v>44</v>
      </c>
      <c r="E73">
        <f>C73+D73</f>
        <v>94</v>
      </c>
      <c r="F73" s="15">
        <f>E73/B73</f>
        <v>0.42342342342342343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52E5-9D27-4367-8673-1DD1ACA4FEAF}">
  <dimension ref="A1"/>
  <sheetViews>
    <sheetView tabSelected="1" workbookViewId="0">
      <selection activeCell="Y13" sqref="Y13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5.54296875" bestFit="1" customWidth="1"/>
    <col min="4" max="5" width="5.81640625" bestFit="1" customWidth="1"/>
    <col min="6" max="6" width="4.81640625" bestFit="1" customWidth="1"/>
    <col min="7" max="20" width="5.81640625" bestFit="1" customWidth="1"/>
    <col min="21" max="21" width="4.81640625" bestFit="1" customWidth="1"/>
    <col min="22" max="23" width="5.81640625" bestFit="1" customWidth="1"/>
    <col min="24" max="24" width="2.81640625" bestFit="1" customWidth="1"/>
    <col min="25" max="26" width="4.81640625" bestFit="1" customWidth="1"/>
    <col min="27" max="39" width="5.81640625" bestFit="1" customWidth="1"/>
    <col min="40" max="40" width="4.81640625" bestFit="1" customWidth="1"/>
    <col min="41" max="47" width="5.81640625" bestFit="1" customWidth="1"/>
    <col min="48" max="48" width="2.81640625" bestFit="1" customWidth="1"/>
    <col min="49" max="49" width="5.81640625" bestFit="1" customWidth="1"/>
    <col min="50" max="51" width="4.81640625" bestFit="1" customWidth="1"/>
    <col min="52" max="57" width="5.81640625" bestFit="1" customWidth="1"/>
    <col min="58" max="58" width="2.81640625" bestFit="1" customWidth="1"/>
    <col min="59" max="59" width="5.81640625" bestFit="1" customWidth="1"/>
    <col min="60" max="60" width="4.81640625" bestFit="1" customWidth="1"/>
    <col min="61" max="64" width="5.81640625" bestFit="1" customWidth="1"/>
    <col min="65" max="68" width="6.81640625" bestFit="1" customWidth="1"/>
    <col min="69" max="69" width="5.81640625" bestFit="1" customWidth="1"/>
    <col min="70" max="73" width="6.81640625" bestFit="1" customWidth="1"/>
    <col min="74" max="74" width="5.81640625" bestFit="1" customWidth="1"/>
    <col min="75" max="75" width="6.81640625" bestFit="1" customWidth="1"/>
    <col min="76" max="78" width="5.81640625" bestFit="1" customWidth="1"/>
    <col min="79" max="82" width="6.81640625" bestFit="1" customWidth="1"/>
    <col min="83" max="83" width="5.81640625" bestFit="1" customWidth="1"/>
    <col min="84" max="93" width="6.81640625" bestFit="1" customWidth="1"/>
    <col min="94" max="94" width="5.81640625" bestFit="1" customWidth="1"/>
    <col min="95" max="108" width="6.81640625" bestFit="1" customWidth="1"/>
    <col min="109" max="109" width="3.81640625" bestFit="1" customWidth="1"/>
    <col min="110" max="114" width="6.81640625" bestFit="1" customWidth="1"/>
    <col min="115" max="116" width="5.81640625" bestFit="1" customWidth="1"/>
    <col min="117" max="123" width="6.81640625" bestFit="1" customWidth="1"/>
    <col min="124" max="124" width="5.81640625" bestFit="1" customWidth="1"/>
    <col min="125" max="125" width="6.81640625" bestFit="1" customWidth="1"/>
    <col min="126" max="126" width="5.81640625" bestFit="1" customWidth="1"/>
    <col min="127" max="143" width="6.81640625" bestFit="1" customWidth="1"/>
    <col min="144" max="144" width="5.81640625" bestFit="1" customWidth="1"/>
    <col min="145" max="151" width="6.81640625" bestFit="1" customWidth="1"/>
    <col min="152" max="152" width="5.81640625" bestFit="1" customWidth="1"/>
    <col min="153" max="159" width="6.81640625" bestFit="1" customWidth="1"/>
    <col min="160" max="160" width="5.81640625" bestFit="1" customWidth="1"/>
    <col min="161" max="166" width="6.81640625" bestFit="1" customWidth="1"/>
    <col min="167" max="167" width="5.81640625" bestFit="1" customWidth="1"/>
    <col min="168" max="175" width="6.81640625" bestFit="1" customWidth="1"/>
    <col min="176" max="176" width="5.81640625" bestFit="1" customWidth="1"/>
    <col min="177" max="177" width="6.81640625" bestFit="1" customWidth="1"/>
    <col min="178" max="178" width="3.81640625" bestFit="1" customWidth="1"/>
    <col min="179" max="183" width="6.81640625" bestFit="1" customWidth="1"/>
    <col min="184" max="185" width="5.81640625" bestFit="1" customWidth="1"/>
    <col min="186" max="187" width="6.81640625" bestFit="1" customWidth="1"/>
    <col min="188" max="188" width="5.81640625" bestFit="1" customWidth="1"/>
    <col min="189" max="199" width="6.81640625" bestFit="1" customWidth="1"/>
    <col min="200" max="200" width="5.81640625" bestFit="1" customWidth="1"/>
    <col min="201" max="209" width="6.81640625" bestFit="1" customWidth="1"/>
    <col min="210" max="210" width="5.81640625" bestFit="1" customWidth="1"/>
    <col min="211" max="214" width="6.81640625" bestFit="1" customWidth="1"/>
    <col min="215" max="217" width="5.81640625" bestFit="1" customWidth="1"/>
    <col min="218" max="218" width="6.81640625" bestFit="1" customWidth="1"/>
    <col min="219" max="219" width="5.81640625" bestFit="1" customWidth="1"/>
    <col min="220" max="230" width="6.81640625" bestFit="1" customWidth="1"/>
    <col min="231" max="231" width="3.81640625" bestFit="1" customWidth="1"/>
    <col min="232" max="235" width="6.81640625" bestFit="1" customWidth="1"/>
    <col min="236" max="236" width="5.81640625" bestFit="1" customWidth="1"/>
    <col min="237" max="242" width="6.81640625" bestFit="1" customWidth="1"/>
    <col min="243" max="244" width="5.81640625" bestFit="1" customWidth="1"/>
    <col min="245" max="247" width="6.81640625" bestFit="1" customWidth="1"/>
    <col min="248" max="248" width="5.81640625" bestFit="1" customWidth="1"/>
    <col min="249" max="250" width="6.81640625" bestFit="1" customWidth="1"/>
    <col min="251" max="251" width="5.81640625" bestFit="1" customWidth="1"/>
    <col min="252" max="259" width="6.81640625" bestFit="1" customWidth="1"/>
    <col min="260" max="260" width="3.81640625" bestFit="1" customWidth="1"/>
    <col min="261" max="261" width="6.81640625" bestFit="1" customWidth="1"/>
    <col min="262" max="263" width="5.81640625" bestFit="1" customWidth="1"/>
    <col min="264" max="268" width="6.81640625" bestFit="1" customWidth="1"/>
    <col min="269" max="269" width="5.81640625" bestFit="1" customWidth="1"/>
    <col min="270" max="270" width="6.81640625" bestFit="1" customWidth="1"/>
    <col min="271" max="271" width="5.81640625" bestFit="1" customWidth="1"/>
    <col min="272" max="281" width="6.81640625" bestFit="1" customWidth="1"/>
    <col min="282" max="282" width="5.81640625" bestFit="1" customWidth="1"/>
    <col min="283" max="286" width="6.81640625" bestFit="1" customWidth="1"/>
    <col min="287" max="287" width="5.81640625" bestFit="1" customWidth="1"/>
    <col min="288" max="289" width="6.81640625" bestFit="1" customWidth="1"/>
    <col min="290" max="290" width="5.81640625" bestFit="1" customWidth="1"/>
    <col min="291" max="296" width="6.81640625" bestFit="1" customWidth="1"/>
    <col min="297" max="297" width="5.81640625" bestFit="1" customWidth="1"/>
    <col min="298" max="299" width="6.81640625" bestFit="1" customWidth="1"/>
    <col min="300" max="300" width="5.81640625" bestFit="1" customWidth="1"/>
    <col min="301" max="304" width="6.81640625" bestFit="1" customWidth="1"/>
    <col min="305" max="305" width="5.81640625" bestFit="1" customWidth="1"/>
    <col min="306" max="311" width="6.81640625" bestFit="1" customWidth="1"/>
    <col min="312" max="312" width="5.81640625" bestFit="1" customWidth="1"/>
    <col min="313" max="313" width="6.81640625" bestFit="1" customWidth="1"/>
    <col min="314" max="315" width="5.81640625" bestFit="1" customWidth="1"/>
    <col min="316" max="316" width="6.81640625" bestFit="1" customWidth="1"/>
    <col min="317" max="317" width="5.81640625" bestFit="1" customWidth="1"/>
    <col min="318" max="324" width="6.81640625" bestFit="1" customWidth="1"/>
    <col min="325" max="325" width="5.81640625" bestFit="1" customWidth="1"/>
    <col min="326" max="331" width="6.81640625" bestFit="1" customWidth="1"/>
    <col min="332" max="332" width="5.81640625" bestFit="1" customWidth="1"/>
    <col min="333" max="335" width="6.81640625" bestFit="1" customWidth="1"/>
    <col min="336" max="336" width="5.81640625" bestFit="1" customWidth="1"/>
    <col min="337" max="340" width="6.81640625" bestFit="1" customWidth="1"/>
    <col min="341" max="341" width="5.81640625" bestFit="1" customWidth="1"/>
    <col min="342" max="343" width="6.81640625" bestFit="1" customWidth="1"/>
    <col min="344" max="344" width="5.81640625" bestFit="1" customWidth="1"/>
    <col min="345" max="350" width="6.81640625" bestFit="1" customWidth="1"/>
    <col min="351" max="351" width="5.81640625" bestFit="1" customWidth="1"/>
    <col min="352" max="358" width="6.81640625" bestFit="1" customWidth="1"/>
    <col min="359" max="359" width="5.81640625" bestFit="1" customWidth="1"/>
    <col min="360" max="363" width="6.81640625" bestFit="1" customWidth="1"/>
    <col min="364" max="364" width="5.81640625" bestFit="1" customWidth="1"/>
    <col min="365" max="367" width="6.81640625" bestFit="1" customWidth="1"/>
    <col min="368" max="368" width="5.81640625" bestFit="1" customWidth="1"/>
    <col min="369" max="376" width="6.81640625" bestFit="1" customWidth="1"/>
    <col min="377" max="377" width="5.81640625" bestFit="1" customWidth="1"/>
    <col min="378" max="378" width="6.81640625" bestFit="1" customWidth="1"/>
    <col min="379" max="379" width="5.81640625" bestFit="1" customWidth="1"/>
    <col min="380" max="383" width="6.81640625" bestFit="1" customWidth="1"/>
    <col min="384" max="384" width="5.81640625" bestFit="1" customWidth="1"/>
    <col min="385" max="407" width="6.81640625" bestFit="1" customWidth="1"/>
    <col min="408" max="409" width="5.81640625" bestFit="1" customWidth="1"/>
    <col min="410" max="410" width="6.81640625" bestFit="1" customWidth="1"/>
    <col min="411" max="411" width="5.81640625" bestFit="1" customWidth="1"/>
    <col min="412" max="420" width="6.81640625" bestFit="1" customWidth="1"/>
    <col min="421" max="421" width="5.81640625" bestFit="1" customWidth="1"/>
    <col min="422" max="423" width="6.81640625" bestFit="1" customWidth="1"/>
    <col min="424" max="424" width="5.81640625" bestFit="1" customWidth="1"/>
    <col min="425" max="426" width="6.81640625" bestFit="1" customWidth="1"/>
    <col min="427" max="427" width="5.81640625" bestFit="1" customWidth="1"/>
    <col min="428" max="434" width="6.81640625" bestFit="1" customWidth="1"/>
    <col min="435" max="435" width="5.81640625" bestFit="1" customWidth="1"/>
    <col min="436" max="438" width="6.81640625" bestFit="1" customWidth="1"/>
    <col min="439" max="439" width="5.81640625" bestFit="1" customWidth="1"/>
    <col min="440" max="444" width="6.81640625" bestFit="1" customWidth="1"/>
    <col min="445" max="446" width="5.81640625" bestFit="1" customWidth="1"/>
    <col min="447" max="464" width="6.81640625" bestFit="1" customWidth="1"/>
    <col min="465" max="465" width="5.81640625" bestFit="1" customWidth="1"/>
    <col min="466" max="472" width="6.81640625" bestFit="1" customWidth="1"/>
    <col min="473" max="473" width="5.81640625" bestFit="1" customWidth="1"/>
    <col min="474" max="477" width="6.81640625" bestFit="1" customWidth="1"/>
    <col min="478" max="478" width="3.81640625" bestFit="1" customWidth="1"/>
    <col min="479" max="479" width="5.81640625" bestFit="1" customWidth="1"/>
    <col min="480" max="480" width="6.81640625" bestFit="1" customWidth="1"/>
    <col min="481" max="481" width="5.81640625" bestFit="1" customWidth="1"/>
    <col min="482" max="482" width="6.81640625" bestFit="1" customWidth="1"/>
    <col min="483" max="483" width="5.81640625" bestFit="1" customWidth="1"/>
    <col min="484" max="488" width="6.81640625" bestFit="1" customWidth="1"/>
    <col min="489" max="490" width="5.81640625" bestFit="1" customWidth="1"/>
    <col min="491" max="492" width="6.81640625" bestFit="1" customWidth="1"/>
    <col min="493" max="493" width="5.81640625" bestFit="1" customWidth="1"/>
    <col min="494" max="504" width="6.81640625" bestFit="1" customWidth="1"/>
    <col min="505" max="505" width="5.81640625" bestFit="1" customWidth="1"/>
    <col min="506" max="510" width="6.81640625" bestFit="1" customWidth="1"/>
    <col min="511" max="511" width="5.81640625" bestFit="1" customWidth="1"/>
    <col min="512" max="522" width="6.81640625" bestFit="1" customWidth="1"/>
    <col min="523" max="523" width="5.81640625" bestFit="1" customWidth="1"/>
    <col min="524" max="542" width="6.81640625" bestFit="1" customWidth="1"/>
    <col min="543" max="543" width="5.81640625" bestFit="1" customWidth="1"/>
    <col min="544" max="544" width="6.81640625" bestFit="1" customWidth="1"/>
    <col min="545" max="545" width="5.81640625" bestFit="1" customWidth="1"/>
    <col min="546" max="546" width="6.81640625" bestFit="1" customWidth="1"/>
    <col min="547" max="548" width="5.81640625" bestFit="1" customWidth="1"/>
    <col min="549" max="550" width="6.81640625" bestFit="1" customWidth="1"/>
    <col min="551" max="551" width="3.81640625" bestFit="1" customWidth="1"/>
    <col min="552" max="566" width="6.81640625" bestFit="1" customWidth="1"/>
    <col min="567" max="567" width="5.81640625" bestFit="1" customWidth="1"/>
    <col min="568" max="577" width="6.81640625" bestFit="1" customWidth="1"/>
    <col min="578" max="578" width="3.81640625" bestFit="1" customWidth="1"/>
    <col min="579" max="580" width="6.81640625" bestFit="1" customWidth="1"/>
    <col min="581" max="581" width="5.81640625" bestFit="1" customWidth="1"/>
    <col min="582" max="583" width="6.81640625" bestFit="1" customWidth="1"/>
    <col min="584" max="584" width="5.81640625" bestFit="1" customWidth="1"/>
    <col min="585" max="585" width="6.81640625" bestFit="1" customWidth="1"/>
    <col min="586" max="586" width="5.81640625" bestFit="1" customWidth="1"/>
    <col min="587" max="594" width="6.81640625" bestFit="1" customWidth="1"/>
    <col min="595" max="595" width="5.81640625" bestFit="1" customWidth="1"/>
    <col min="596" max="599" width="6.81640625" bestFit="1" customWidth="1"/>
    <col min="600" max="600" width="5.81640625" bestFit="1" customWidth="1"/>
    <col min="601" max="610" width="6.81640625" bestFit="1" customWidth="1"/>
    <col min="611" max="611" width="5.81640625" bestFit="1" customWidth="1"/>
    <col min="612" max="612" width="6.81640625" bestFit="1" customWidth="1"/>
    <col min="613" max="613" width="5.81640625" bestFit="1" customWidth="1"/>
    <col min="614" max="614" width="6.81640625" bestFit="1" customWidth="1"/>
    <col min="615" max="615" width="5.81640625" bestFit="1" customWidth="1"/>
    <col min="616" max="618" width="6.81640625" bestFit="1" customWidth="1"/>
    <col min="619" max="620" width="5.81640625" bestFit="1" customWidth="1"/>
    <col min="621" max="631" width="6.81640625" bestFit="1" customWidth="1"/>
    <col min="632" max="632" width="5.81640625" bestFit="1" customWidth="1"/>
    <col min="633" max="633" width="6.81640625" bestFit="1" customWidth="1"/>
    <col min="634" max="634" width="3.81640625" bestFit="1" customWidth="1"/>
    <col min="635" max="635" width="5.81640625" bestFit="1" customWidth="1"/>
    <col min="636" max="640" width="6.81640625" bestFit="1" customWidth="1"/>
    <col min="641" max="641" width="5.81640625" bestFit="1" customWidth="1"/>
    <col min="642" max="648" width="6.81640625" bestFit="1" customWidth="1"/>
    <col min="649" max="649" width="3.81640625" bestFit="1" customWidth="1"/>
    <col min="650" max="650" width="6.81640625" bestFit="1" customWidth="1"/>
    <col min="651" max="651" width="5.81640625" bestFit="1" customWidth="1"/>
    <col min="652" max="652" width="6.81640625" bestFit="1" customWidth="1"/>
    <col min="653" max="653" width="5.81640625" bestFit="1" customWidth="1"/>
    <col min="654" max="654" width="6.81640625" bestFit="1" customWidth="1"/>
    <col min="655" max="655" width="5.81640625" bestFit="1" customWidth="1"/>
    <col min="656" max="656" width="6.81640625" bestFit="1" customWidth="1"/>
    <col min="657" max="657" width="5.81640625" bestFit="1" customWidth="1"/>
    <col min="658" max="662" width="6.81640625" bestFit="1" customWidth="1"/>
    <col min="663" max="663" width="5.81640625" bestFit="1" customWidth="1"/>
    <col min="664" max="668" width="6.81640625" bestFit="1" customWidth="1"/>
    <col min="669" max="670" width="5.81640625" bestFit="1" customWidth="1"/>
    <col min="671" max="672" width="6.81640625" bestFit="1" customWidth="1"/>
    <col min="673" max="673" width="5.81640625" bestFit="1" customWidth="1"/>
    <col min="674" max="674" width="6.81640625" bestFit="1" customWidth="1"/>
    <col min="675" max="675" width="5.81640625" bestFit="1" customWidth="1"/>
    <col min="676" max="676" width="6.81640625" bestFit="1" customWidth="1"/>
    <col min="677" max="677" width="5.81640625" bestFit="1" customWidth="1"/>
    <col min="678" max="678" width="6.81640625" bestFit="1" customWidth="1"/>
    <col min="679" max="679" width="5.81640625" bestFit="1" customWidth="1"/>
    <col min="680" max="685" width="6.81640625" bestFit="1" customWidth="1"/>
    <col min="686" max="686" width="7.81640625" bestFit="1" customWidth="1"/>
    <col min="687" max="688" width="6.81640625" bestFit="1" customWidth="1"/>
    <col min="689" max="693" width="7.81640625" bestFit="1" customWidth="1"/>
    <col min="694" max="694" width="6.81640625" bestFit="1" customWidth="1"/>
    <col min="695" max="697" width="7.81640625" bestFit="1" customWidth="1"/>
    <col min="698" max="698" width="6.81640625" bestFit="1" customWidth="1"/>
    <col min="699" max="701" width="7.81640625" bestFit="1" customWidth="1"/>
    <col min="702" max="702" width="6.81640625" bestFit="1" customWidth="1"/>
    <col min="703" max="703" width="4.81640625" bestFit="1" customWidth="1"/>
    <col min="704" max="713" width="7.81640625" bestFit="1" customWidth="1"/>
    <col min="714" max="714" width="6.81640625" bestFit="1" customWidth="1"/>
    <col min="715" max="718" width="7.81640625" bestFit="1" customWidth="1"/>
    <col min="719" max="719" width="6.81640625" bestFit="1" customWidth="1"/>
    <col min="720" max="726" width="7.81640625" bestFit="1" customWidth="1"/>
    <col min="727" max="727" width="4.81640625" bestFit="1" customWidth="1"/>
    <col min="728" max="728" width="7.81640625" bestFit="1" customWidth="1"/>
    <col min="729" max="729" width="6.81640625" bestFit="1" customWidth="1"/>
    <col min="730" max="732" width="7.81640625" bestFit="1" customWidth="1"/>
    <col min="733" max="733" width="4.81640625" bestFit="1" customWidth="1"/>
    <col min="734" max="738" width="7.81640625" bestFit="1" customWidth="1"/>
    <col min="739" max="739" width="6.81640625" bestFit="1" customWidth="1"/>
    <col min="740" max="740" width="4.81640625" bestFit="1" customWidth="1"/>
    <col min="741" max="752" width="7.81640625" bestFit="1" customWidth="1"/>
    <col min="753" max="754" width="6.81640625" bestFit="1" customWidth="1"/>
    <col min="755" max="756" width="7.81640625" bestFit="1" customWidth="1"/>
    <col min="757" max="757" width="6.81640625" bestFit="1" customWidth="1"/>
    <col min="758" max="759" width="7.81640625" bestFit="1" customWidth="1"/>
    <col min="760" max="760" width="6.81640625" bestFit="1" customWidth="1"/>
    <col min="761" max="761" width="7.81640625" bestFit="1" customWidth="1"/>
    <col min="762" max="762" width="4.81640625" bestFit="1" customWidth="1"/>
    <col min="763" max="772" width="7.81640625" bestFit="1" customWidth="1"/>
    <col min="773" max="773" width="6.81640625" bestFit="1" customWidth="1"/>
    <col min="774" max="774" width="7.81640625" bestFit="1" customWidth="1"/>
    <col min="775" max="775" width="6.81640625" bestFit="1" customWidth="1"/>
    <col min="776" max="780" width="7.81640625" bestFit="1" customWidth="1"/>
    <col min="781" max="781" width="6.81640625" bestFit="1" customWidth="1"/>
    <col min="782" max="786" width="7.81640625" bestFit="1" customWidth="1"/>
    <col min="787" max="787" width="6.81640625" bestFit="1" customWidth="1"/>
    <col min="788" max="789" width="7.81640625" bestFit="1" customWidth="1"/>
    <col min="790" max="790" width="6.81640625" bestFit="1" customWidth="1"/>
    <col min="791" max="803" width="7.81640625" bestFit="1" customWidth="1"/>
    <col min="804" max="804" width="6.81640625" bestFit="1" customWidth="1"/>
    <col min="805" max="805" width="7.81640625" bestFit="1" customWidth="1"/>
    <col min="806" max="806" width="6.81640625" bestFit="1" customWidth="1"/>
    <col min="807" max="809" width="7.81640625" bestFit="1" customWidth="1"/>
    <col min="810" max="810" width="6.81640625" bestFit="1" customWidth="1"/>
    <col min="811" max="822" width="7.81640625" bestFit="1" customWidth="1"/>
    <col min="823" max="823" width="6.81640625" bestFit="1" customWidth="1"/>
    <col min="824" max="824" width="7.81640625" bestFit="1" customWidth="1"/>
    <col min="825" max="825" width="6.81640625" bestFit="1" customWidth="1"/>
    <col min="826" max="828" width="7.81640625" bestFit="1" customWidth="1"/>
    <col min="829" max="830" width="6.81640625" bestFit="1" customWidth="1"/>
    <col min="831" max="831" width="7.81640625" bestFit="1" customWidth="1"/>
    <col min="832" max="834" width="6.81640625" bestFit="1" customWidth="1"/>
    <col min="835" max="836" width="7.81640625" bestFit="1" customWidth="1"/>
    <col min="837" max="838" width="6.81640625" bestFit="1" customWidth="1"/>
    <col min="839" max="841" width="7.81640625" bestFit="1" customWidth="1"/>
    <col min="842" max="842" width="6.81640625" bestFit="1" customWidth="1"/>
    <col min="843" max="843" width="7.81640625" bestFit="1" customWidth="1"/>
    <col min="844" max="844" width="6.81640625" bestFit="1" customWidth="1"/>
    <col min="845" max="851" width="7.81640625" bestFit="1" customWidth="1"/>
    <col min="852" max="852" width="6.81640625" bestFit="1" customWidth="1"/>
    <col min="853" max="858" width="7.81640625" bestFit="1" customWidth="1"/>
    <col min="859" max="859" width="4.81640625" bestFit="1" customWidth="1"/>
    <col min="860" max="862" width="7.81640625" bestFit="1" customWidth="1"/>
    <col min="863" max="863" width="6.81640625" bestFit="1" customWidth="1"/>
    <col min="864" max="865" width="7.81640625" bestFit="1" customWidth="1"/>
    <col min="866" max="866" width="6.81640625" bestFit="1" customWidth="1"/>
    <col min="867" max="876" width="7.81640625" bestFit="1" customWidth="1"/>
    <col min="877" max="877" width="6.81640625" bestFit="1" customWidth="1"/>
    <col min="878" max="887" width="7.81640625" bestFit="1" customWidth="1"/>
    <col min="888" max="890" width="6.81640625" bestFit="1" customWidth="1"/>
    <col min="891" max="894" width="7.81640625" bestFit="1" customWidth="1"/>
    <col min="895" max="896" width="6.81640625" bestFit="1" customWidth="1"/>
    <col min="897" max="898" width="7.81640625" bestFit="1" customWidth="1"/>
    <col min="899" max="899" width="4.81640625" bestFit="1" customWidth="1"/>
    <col min="900" max="912" width="7.81640625" bestFit="1" customWidth="1"/>
    <col min="913" max="913" width="6.81640625" bestFit="1" customWidth="1"/>
    <col min="914" max="915" width="7.81640625" bestFit="1" customWidth="1"/>
    <col min="916" max="916" width="6.81640625" bestFit="1" customWidth="1"/>
    <col min="917" max="922" width="7.81640625" bestFit="1" customWidth="1"/>
    <col min="923" max="923" width="6.81640625" bestFit="1" customWidth="1"/>
    <col min="924" max="927" width="7.81640625" bestFit="1" customWidth="1"/>
    <col min="928" max="928" width="6.81640625" bestFit="1" customWidth="1"/>
    <col min="929" max="931" width="7.81640625" bestFit="1" customWidth="1"/>
    <col min="932" max="932" width="6.81640625" bestFit="1" customWidth="1"/>
    <col min="933" max="934" width="7.81640625" bestFit="1" customWidth="1"/>
    <col min="935" max="935" width="6.81640625" bestFit="1" customWidth="1"/>
    <col min="936" max="936" width="7.81640625" bestFit="1" customWidth="1"/>
    <col min="937" max="937" width="6.81640625" bestFit="1" customWidth="1"/>
    <col min="938" max="943" width="7.81640625" bestFit="1" customWidth="1"/>
    <col min="944" max="944" width="6.81640625" bestFit="1" customWidth="1"/>
    <col min="945" max="947" width="7.81640625" bestFit="1" customWidth="1"/>
    <col min="948" max="949" width="6.81640625" bestFit="1" customWidth="1"/>
    <col min="950" max="956" width="7.81640625" bestFit="1" customWidth="1"/>
    <col min="957" max="957" width="6.81640625" bestFit="1" customWidth="1"/>
    <col min="958" max="960" width="7.81640625" bestFit="1" customWidth="1"/>
    <col min="961" max="961" width="4.81640625" bestFit="1" customWidth="1"/>
    <col min="962" max="962" width="6.81640625" bestFit="1" customWidth="1"/>
    <col min="963" max="965" width="7.81640625" bestFit="1" customWidth="1"/>
    <col min="966" max="966" width="6.81640625" bestFit="1" customWidth="1"/>
    <col min="967" max="967" width="7.81640625" bestFit="1" customWidth="1"/>
    <col min="968" max="969" width="6.81640625" bestFit="1" customWidth="1"/>
    <col min="970" max="977" width="7.81640625" bestFit="1" customWidth="1"/>
    <col min="978" max="978" width="6.81640625" bestFit="1" customWidth="1"/>
    <col min="979" max="979" width="7.81640625" bestFit="1" customWidth="1"/>
    <col min="980" max="980" width="6.81640625" bestFit="1" customWidth="1"/>
    <col min="981" max="989" width="7.81640625" bestFit="1" customWidth="1"/>
    <col min="990" max="991" width="6.81640625" bestFit="1" customWidth="1"/>
    <col min="992" max="994" width="7.81640625" bestFit="1" customWidth="1"/>
    <col min="995" max="995" width="6.81640625" bestFit="1" customWidth="1"/>
    <col min="996" max="997" width="7.81640625" bestFit="1" customWidth="1"/>
    <col min="998" max="999" width="6.81640625" bestFit="1" customWidth="1"/>
    <col min="1000" max="1001" width="7.81640625" bestFit="1" customWidth="1"/>
    <col min="1002" max="1002" width="6.81640625" bestFit="1" customWidth="1"/>
    <col min="1003" max="1009" width="7.81640625" bestFit="1" customWidth="1"/>
    <col min="1010" max="1010" width="4.81640625" bestFit="1" customWidth="1"/>
    <col min="1011" max="1011" width="6.81640625" bestFit="1" customWidth="1"/>
    <col min="1012" max="1025" width="7.81640625" bestFit="1" customWidth="1"/>
    <col min="1026" max="1026" width="6.81640625" bestFit="1" customWidth="1"/>
    <col min="1027" max="1028" width="7.81640625" bestFit="1" customWidth="1"/>
    <col min="1029" max="1029" width="4.81640625" bestFit="1" customWidth="1"/>
    <col min="1030" max="1032" width="7.81640625" bestFit="1" customWidth="1"/>
    <col min="1033" max="1033" width="6.81640625" bestFit="1" customWidth="1"/>
    <col min="1034" max="1034" width="7.81640625" bestFit="1" customWidth="1"/>
    <col min="1035" max="1035" width="6.81640625" bestFit="1" customWidth="1"/>
    <col min="1036" max="1039" width="7.81640625" bestFit="1" customWidth="1"/>
    <col min="1040" max="1043" width="6.81640625" bestFit="1" customWidth="1"/>
    <col min="1044" max="1049" width="7.81640625" bestFit="1" customWidth="1"/>
    <col min="1050" max="1050" width="6.81640625" bestFit="1" customWidth="1"/>
    <col min="1051" max="1054" width="7.81640625" bestFit="1" customWidth="1"/>
    <col min="1055" max="1056" width="6.81640625" bestFit="1" customWidth="1"/>
    <col min="1057" max="1060" width="7.81640625" bestFit="1" customWidth="1"/>
    <col min="1061" max="1062" width="6.81640625" bestFit="1" customWidth="1"/>
    <col min="1063" max="1064" width="7.81640625" bestFit="1" customWidth="1"/>
    <col min="1065" max="1065" width="6.81640625" bestFit="1" customWidth="1"/>
    <col min="1066" max="1067" width="7.81640625" bestFit="1" customWidth="1"/>
    <col min="1068" max="1069" width="6.81640625" bestFit="1" customWidth="1"/>
    <col min="1070" max="1075" width="7.81640625" bestFit="1" customWidth="1"/>
    <col min="1076" max="1076" width="6.81640625" bestFit="1" customWidth="1"/>
    <col min="1077" max="1077" width="7.81640625" bestFit="1" customWidth="1"/>
    <col min="1078" max="1078" width="6.81640625" bestFit="1" customWidth="1"/>
    <col min="1079" max="1081" width="7.81640625" bestFit="1" customWidth="1"/>
    <col min="1082" max="1082" width="6.81640625" bestFit="1" customWidth="1"/>
    <col min="1083" max="1097" width="7.81640625" bestFit="1" customWidth="1"/>
    <col min="1098" max="1098" width="6.81640625" bestFit="1" customWidth="1"/>
    <col min="1099" max="1100" width="7.81640625" bestFit="1" customWidth="1"/>
    <col min="1101" max="1101" width="6.81640625" bestFit="1" customWidth="1"/>
    <col min="1102" max="1102" width="7.81640625" bestFit="1" customWidth="1"/>
    <col min="1103" max="1103" width="6.81640625" bestFit="1" customWidth="1"/>
    <col min="1104" max="1104" width="7.81640625" bestFit="1" customWidth="1"/>
    <col min="1105" max="1105" width="6.81640625" bestFit="1" customWidth="1"/>
    <col min="1106" max="1111" width="7.81640625" bestFit="1" customWidth="1"/>
    <col min="1112" max="1113" width="6.81640625" bestFit="1" customWidth="1"/>
    <col min="1114" max="1115" width="7.81640625" bestFit="1" customWidth="1"/>
    <col min="1116" max="1116" width="6.81640625" bestFit="1" customWidth="1"/>
    <col min="1117" max="1118" width="7.81640625" bestFit="1" customWidth="1"/>
    <col min="1119" max="1119" width="4.81640625" bestFit="1" customWidth="1"/>
    <col min="1120" max="1129" width="7.81640625" bestFit="1" customWidth="1"/>
    <col min="1130" max="1130" width="6.81640625" bestFit="1" customWidth="1"/>
    <col min="1131" max="1132" width="7.81640625" bestFit="1" customWidth="1"/>
    <col min="1133" max="1133" width="6.81640625" bestFit="1" customWidth="1"/>
    <col min="1134" max="1137" width="7.81640625" bestFit="1" customWidth="1"/>
    <col min="1138" max="1139" width="6.81640625" bestFit="1" customWidth="1"/>
    <col min="1140" max="1140" width="7.81640625" bestFit="1" customWidth="1"/>
    <col min="1141" max="1143" width="6.81640625" bestFit="1" customWidth="1"/>
    <col min="1144" max="1144" width="7.81640625" bestFit="1" customWidth="1"/>
    <col min="1145" max="1145" width="6.81640625" bestFit="1" customWidth="1"/>
    <col min="1146" max="1150" width="7.81640625" bestFit="1" customWidth="1"/>
    <col min="1151" max="1151" width="6.81640625" bestFit="1" customWidth="1"/>
    <col min="1152" max="1152" width="7.81640625" bestFit="1" customWidth="1"/>
    <col min="1153" max="1153" width="4.81640625" bestFit="1" customWidth="1"/>
    <col min="1154" max="1155" width="7.81640625" bestFit="1" customWidth="1"/>
    <col min="1156" max="1156" width="6.81640625" bestFit="1" customWidth="1"/>
    <col min="1157" max="1157" width="7.81640625" bestFit="1" customWidth="1"/>
    <col min="1158" max="1158" width="6.81640625" bestFit="1" customWidth="1"/>
    <col min="1159" max="1159" width="7.81640625" bestFit="1" customWidth="1"/>
    <col min="1160" max="1160" width="6.81640625" bestFit="1" customWidth="1"/>
    <col min="1161" max="1161" width="7.81640625" bestFit="1" customWidth="1"/>
    <col min="1162" max="1164" width="6.81640625" bestFit="1" customWidth="1"/>
    <col min="1165" max="1165" width="7.81640625" bestFit="1" customWidth="1"/>
    <col min="1166" max="1166" width="6.81640625" bestFit="1" customWidth="1"/>
    <col min="1167" max="1167" width="7.81640625" bestFit="1" customWidth="1"/>
    <col min="1168" max="1168" width="6.81640625" bestFit="1" customWidth="1"/>
    <col min="1169" max="1171" width="7.81640625" bestFit="1" customWidth="1"/>
    <col min="1172" max="1172" width="6.81640625" bestFit="1" customWidth="1"/>
    <col min="1173" max="1174" width="4.81640625" bestFit="1" customWidth="1"/>
    <col min="1175" max="1175" width="6.81640625" bestFit="1" customWidth="1"/>
    <col min="1176" max="1178" width="7.81640625" bestFit="1" customWidth="1"/>
    <col min="1179" max="1179" width="6.81640625" bestFit="1" customWidth="1"/>
    <col min="1180" max="1180" width="7.81640625" bestFit="1" customWidth="1"/>
    <col min="1181" max="1182" width="6.81640625" bestFit="1" customWidth="1"/>
    <col min="1183" max="1186" width="7.81640625" bestFit="1" customWidth="1"/>
    <col min="1187" max="1187" width="6.81640625" bestFit="1" customWidth="1"/>
    <col min="1188" max="1188" width="7.81640625" bestFit="1" customWidth="1"/>
    <col min="1189" max="1189" width="4.81640625" bestFit="1" customWidth="1"/>
    <col min="1190" max="1190" width="6.81640625" bestFit="1" customWidth="1"/>
    <col min="1191" max="1191" width="7.81640625" bestFit="1" customWidth="1"/>
    <col min="1192" max="1194" width="6.81640625" bestFit="1" customWidth="1"/>
    <col min="1195" max="1195" width="7.81640625" bestFit="1" customWidth="1"/>
    <col min="1196" max="1196" width="6.81640625" bestFit="1" customWidth="1"/>
    <col min="1197" max="1197" width="10.726562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Analysis</vt:lpstr>
      <vt:lpstr>Data 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Oluwatimilehin Omotunde</cp:lastModifiedBy>
  <dcterms:created xsi:type="dcterms:W3CDTF">2025-06-21T13:19:12Z</dcterms:created>
  <dcterms:modified xsi:type="dcterms:W3CDTF">2026-05-25T18:24:52Z</dcterms:modified>
</cp:coreProperties>
</file>